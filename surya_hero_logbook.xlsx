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Daily Log" sheetId="2" state="visible" r:id="rId4"/>
    <sheet name="📚 Exercise Library" sheetId="3" state="visible" r:id="rId5"/>
    <sheet name="🏆 PR Tracker" sheetId="4" state="visible" r:id="rId6"/>
    <sheet name="📏 Body Stats" sheetId="5" state="visible" r:id="rId7"/>
    <sheet name="🥗 Nutrition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<sst xmlns="http://schemas.openxmlformats.org/spreadsheetml/2006/main" count="517" uniqueCount="309">
  <si>
    <t xml:space="preserve">🦸 SURYA'S HERO TRAINING LOGBOOK — 30-DAY TRACKER</t>
  </si>
  <si>
    <t xml:space="preserve">Goal: 75kg Lean Muscle | Spider-Man Physique x Goku Strength | 6:00 AM – 7:45 AM</t>
  </si>
  <si>
    <t xml:space="preserve">💪 Total Workouts</t>
  </si>
  <si>
    <t xml:space="preserve">❌ Days Missed</t>
  </si>
  <si>
    <t xml:space="preserve">⚡ Streak (Max)</t>
  </si>
  <si>
    <t xml:space="preserve">📅 Month Progress</t>
  </si>
  <si>
    <t xml:space="preserve">🏋️ Total Volume (kg)</t>
  </si>
  <si>
    <t xml:space="preserve">🔥 Avg Session (kg)</t>
  </si>
  <si>
    <t xml:space="preserve">📅 WEEKLY BREAKDOWN</t>
  </si>
  <si>
    <t xml:space="preserve">Week</t>
  </si>
  <si>
    <t xml:space="preserve">Days Trained</t>
  </si>
  <si>
    <t xml:space="preserve">Days Missed</t>
  </si>
  <si>
    <t xml:space="preserve">Completion %</t>
  </si>
  <si>
    <t xml:space="preserve">Workouts Done</t>
  </si>
  <si>
    <t xml:space="preserve">Total Volume (kg)</t>
  </si>
  <si>
    <t xml:space="preserve">Avg Volume/Day</t>
  </si>
  <si>
    <t xml:space="preserve">Best Day</t>
  </si>
  <si>
    <t xml:space="preserve">Status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</si>
  <si>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</si>
  <si>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</si>
  <si>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</si>
  <si>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</si>
  <si>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</si>
  <si>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💪 MUSCLE GROUP HIT FREQUENCY (Month)</t>
  </si>
  <si>
    <t xml:space="preserve">Chest</t>
  </si>
  <si>
    <t xml:space="preserve">Expected: 8</t>
  </si>
  <si>
    <t xml:space="preserve">Back</t>
  </si>
  <si>
    <t xml:space="preserve">Shoulders</t>
  </si>
  <si>
    <t xml:space="preserve">Legs (Quads)</t>
  </si>
  <si>
    <t xml:space="preserve">Legs (Hams)</t>
  </si>
  <si>
    <t xml:space="preserve">Biceps</t>
  </si>
  <si>
    <t xml:space="preserve">Triceps</t>
  </si>
  <si>
    <t xml:space="preserve">Core</t>
  </si>
  <si>
    <t xml:space="preserve">📋 30-DAY DAILY WORKOUT LOG</t>
  </si>
  <si>
    <t xml:space="preserve">📝 Fill in: Date | Workout Type | Status | Exercises | Sets x Reps | Weight (kg) | Energy | Notes | Finisher</t>
  </si>
  <si>
    <t xml:space="preserve">Day #</t>
  </si>
  <si>
    <t xml:space="preserve">Date</t>
  </si>
  <si>
    <t xml:space="preserve">Workout Type</t>
  </si>
  <si>
    <t xml:space="preserve">Status
(✅/❌/😴)</t>
  </si>
  <si>
    <t xml:space="preserve">Exercise 1
(Name | Sets×Reps)</t>
  </si>
  <si>
    <t xml:space="preserve">Exercise 2
(Name | Sets×Reps)</t>
  </si>
  <si>
    <t xml:space="preserve">Total Volume
(kg lifted)</t>
  </si>
  <si>
    <t xml:space="preserve">Energy Level
(1-10)</t>
  </si>
  <si>
    <t xml:space="preserve">Bodyweight
(kg)</t>
  </si>
  <si>
    <t xml:space="preserve">Finisher
Completed?</t>
  </si>
  <si>
    <t xml:space="preserve">Personal Best
(Exercise | Weight)</t>
  </si>
  <si>
    <t xml:space="preserve">Sleep Hrs
(Night Before)</t>
  </si>
  <si>
    <t xml:space="preserve">Protein Hit?
(✅/❌)</t>
  </si>
  <si>
    <t xml:space="preserve">Notes / Mood</t>
  </si>
  <si>
    <t xml:space="preserve">06 Apr 2026</t>
  </si>
  <si>
    <t xml:space="preserve">PUSH A (Chest Focus)</t>
  </si>
  <si>
    <t xml:space="preserve">07 Apr 2026</t>
  </si>
  <si>
    <t xml:space="preserve">PULL A (Width Focus)</t>
  </si>
  <si>
    <t xml:space="preserve">08 Apr 2026</t>
  </si>
  <si>
    <t xml:space="preserve">LEGS A (Squat Focus)</t>
  </si>
  <si>
    <t xml:space="preserve">09 Apr 2026</t>
  </si>
  <si>
    <t xml:space="preserve">PUSH B (Shoulder Focus)</t>
  </si>
  <si>
    <t xml:space="preserve">10 Apr 2026</t>
  </si>
  <si>
    <t xml:space="preserve">PULL B (Thickness Focus)</t>
  </si>
  <si>
    <t xml:space="preserve">11 Apr 2026</t>
  </si>
  <si>
    <t xml:space="preserve">LEGS B (Agility Focus)</t>
  </si>
  <si>
    <t xml:space="preserve">12 Apr 2026</t>
  </si>
  <si>
    <t xml:space="preserve">REST / Recovery</t>
  </si>
  <si>
    <t xml:space="preserve">😴 Rest</t>
  </si>
  <si>
    <t xml:space="preserve">N/A</t>
  </si>
  <si>
    <t xml:space="preserve">13 Apr 2026</t>
  </si>
  <si>
    <t xml:space="preserve">14 Apr 2026</t>
  </si>
  <si>
    <t xml:space="preserve">15 Apr 2026</t>
  </si>
  <si>
    <t xml:space="preserve">16 Apr 2026</t>
  </si>
  <si>
    <t xml:space="preserve">17 Apr 2026</t>
  </si>
  <si>
    <t xml:space="preserve">18 Apr 2026</t>
  </si>
  <si>
    <t xml:space="preserve">19 Apr 2026</t>
  </si>
  <si>
    <t xml:space="preserve">20 Apr 2026</t>
  </si>
  <si>
    <t xml:space="preserve">21 Apr 2026</t>
  </si>
  <si>
    <t xml:space="preserve">22 Apr 2026</t>
  </si>
  <si>
    <t xml:space="preserve">23 Apr 2026</t>
  </si>
  <si>
    <t xml:space="preserve">24 Apr 2026</t>
  </si>
  <si>
    <t xml:space="preserve">25 Apr 2026</t>
  </si>
  <si>
    <t xml:space="preserve">26 Apr 2026</t>
  </si>
  <si>
    <t xml:space="preserve">27 Apr 2026</t>
  </si>
  <si>
    <t xml:space="preserve">28 Apr 2026</t>
  </si>
  <si>
    <t xml:space="preserve">29 Apr 2026</t>
  </si>
  <si>
    <t xml:space="preserve">30 Apr 2026</t>
  </si>
  <si>
    <t xml:space="preserve">01 May 2026</t>
  </si>
  <si>
    <t xml:space="preserve">02 May 2026</t>
  </si>
  <si>
    <t xml:space="preserve">03 May 2026</t>
  </si>
  <si>
    <t xml:space="preserve">04 May 2026</t>
  </si>
  <si>
    <t xml:space="preserve">05 May 2026</t>
  </si>
  <si>
    <t xml:space="preserve">📚 EXERCISE REFERENCE LIBRARY (Your Full Routine)</t>
  </si>
  <si>
    <t xml:space="preserve">Saga 1: Foundation (Months 1-4) | Saga 2: Strength (Months 5-8) | Saga 3: Shred (Months 9-12)</t>
  </si>
  <si>
    <t xml:space="preserve">Day</t>
  </si>
  <si>
    <t xml:space="preserve">Exercise</t>
  </si>
  <si>
    <t xml:space="preserve">Sets</t>
  </si>
  <si>
    <t xml:space="preserve">Reps</t>
  </si>
  <si>
    <t xml:space="preserve">Rest</t>
  </si>
  <si>
    <t xml:space="preserve">Target Muscle</t>
  </si>
  <si>
    <t xml:space="preserve">Saga</t>
  </si>
  <si>
    <t xml:space="preserve">Notes</t>
  </si>
  <si>
    <t xml:space="preserve">PUSH A (Mon)</t>
  </si>
  <si>
    <t xml:space="preserve">Barbell Bench Press</t>
  </si>
  <si>
    <t xml:space="preserve">4</t>
  </si>
  <si>
    <t xml:space="preserve">8-10</t>
  </si>
  <si>
    <t xml:space="preserve">90s</t>
  </si>
  <si>
    <t xml:space="preserve">Chest (Lower/Mid)</t>
  </si>
  <si>
    <t xml:space="preserve">All Sagas</t>
  </si>
  <si>
    <t xml:space="preserve">Touch chest, explode up</t>
  </si>
  <si>
    <t xml:space="preserve">Incline Dumbbell Press</t>
  </si>
  <si>
    <t xml:space="preserve">3</t>
  </si>
  <si>
    <t xml:space="preserve">10-12</t>
  </si>
  <si>
    <t xml:space="preserve">75s</t>
  </si>
  <si>
    <t xml:space="preserve">Chest (Upper)</t>
  </si>
  <si>
    <t xml:space="preserve">Focus on upper chest shelf</t>
  </si>
  <si>
    <t xml:space="preserve">Incline Dumbbell Flys</t>
  </si>
  <si>
    <t xml:space="preserve">12-15</t>
  </si>
  <si>
    <t xml:space="preserve">60s</t>
  </si>
  <si>
    <t xml:space="preserve">Chest (Stretch)</t>
  </si>
  <si>
    <t xml:space="preserve">Saga 1-2</t>
  </si>
  <si>
    <t xml:space="preserve">Deep stretch at the bottom</t>
  </si>
  <si>
    <t xml:space="preserve">Lateral Raises</t>
  </si>
  <si>
    <t xml:space="preserve">15</t>
  </si>
  <si>
    <t xml:space="preserve">Side Delts</t>
  </si>
  <si>
    <t xml:space="preserve">Lead with elbows, don't swing</t>
  </si>
  <si>
    <t xml:space="preserve">Tricep Pushdowns (Rope)</t>
  </si>
  <si>
    <t xml:space="preserve">Triceps (Long)</t>
  </si>
  <si>
    <t xml:space="preserve">Spread rope at bottom</t>
  </si>
  <si>
    <t xml:space="preserve">Finisher: Cable Crossovers</t>
  </si>
  <si>
    <t xml:space="preserve">15-20</t>
  </si>
  <si>
    <t xml:space="preserve">Chest (Isolation)</t>
  </si>
  <si>
    <t xml:space="preserve">Squeeze at center</t>
  </si>
  <si>
    <t xml:space="preserve">PULL A (Tue)</t>
  </si>
  <si>
    <t xml:space="preserve">Pull-ups</t>
  </si>
  <si>
    <t xml:space="preserve">AMRAP</t>
  </si>
  <si>
    <t xml:space="preserve">Lats (Width)</t>
  </si>
  <si>
    <t xml:space="preserve">Wide grip, chin over bar</t>
  </si>
  <si>
    <t xml:space="preserve">Lat Pulldowns (Wide)</t>
  </si>
  <si>
    <t xml:space="preserve">Lats</t>
  </si>
  <si>
    <t xml:space="preserve">Saga 1</t>
  </si>
  <si>
    <t xml:space="preserve">Control the negative</t>
  </si>
  <si>
    <t xml:space="preserve">Single-Arm DB Rows</t>
  </si>
  <si>
    <t xml:space="preserve">12/arm</t>
  </si>
  <si>
    <t xml:space="preserve">Back (Thickness)</t>
  </si>
  <si>
    <t xml:space="preserve">Keep back flat, pull to hip</t>
  </si>
  <si>
    <t xml:space="preserve">Face Pulls</t>
  </si>
  <si>
    <t xml:space="preserve">Rear Delts</t>
  </si>
  <si>
    <t xml:space="preserve">Pull to forehead, external rotation</t>
  </si>
  <si>
    <t xml:space="preserve">Dumbbell Curls</t>
  </si>
  <si>
    <t xml:space="preserve">Twist pinky up at top</t>
  </si>
  <si>
    <t xml:space="preserve">LEGS A (Wed)</t>
  </si>
  <si>
    <t xml:space="preserve">Barbell Squats</t>
  </si>
  <si>
    <t xml:space="preserve">Quads/Glutes</t>
  </si>
  <si>
    <t xml:space="preserve">Break parallel, knees out</t>
  </si>
  <si>
    <t xml:space="preserve">Leg Press</t>
  </si>
  <si>
    <t xml:space="preserve">Quads</t>
  </si>
  <si>
    <t xml:space="preserve">Don't lock knees at top</t>
  </si>
  <si>
    <t xml:space="preserve">Leg Extensions</t>
  </si>
  <si>
    <t xml:space="preserve">Quads (Isolation)</t>
  </si>
  <si>
    <t xml:space="preserve">Hold 1s at the top</t>
  </si>
  <si>
    <t xml:space="preserve">Walking Lunges</t>
  </si>
  <si>
    <t xml:space="preserve">12/leg</t>
  </si>
  <si>
    <t xml:space="preserve">Knee almost touches ground</t>
  </si>
  <si>
    <t xml:space="preserve">Plank</t>
  </si>
  <si>
    <t xml:space="preserve">Core tight, glutes squeezed</t>
  </si>
  <si>
    <t xml:space="preserve">Finisher: Calf Raises</t>
  </si>
  <si>
    <t xml:space="preserve">20</t>
  </si>
  <si>
    <t xml:space="preserve">45s</t>
  </si>
  <si>
    <t xml:space="preserve">Calves</t>
  </si>
  <si>
    <t xml:space="preserve">Full range of motion</t>
  </si>
  <si>
    <t xml:space="preserve">PUSH B (Thu)</t>
  </si>
  <si>
    <t xml:space="preserve">Overhead Press (Barbell)</t>
  </si>
  <si>
    <t xml:space="preserve">Shoulders (All Heads)</t>
  </si>
  <si>
    <t xml:space="preserve">Core tight, press vertically</t>
  </si>
  <si>
    <t xml:space="preserve">Arnold Press</t>
  </si>
  <si>
    <t xml:space="preserve">Front/Side Delts</t>
  </si>
  <si>
    <t xml:space="preserve">Rotate palms at top</t>
  </si>
  <si>
    <t xml:space="preserve">Close-Grip Bench Press</t>
  </si>
  <si>
    <t xml:space="preserve">Triceps/Chest</t>
  </si>
  <si>
    <t xml:space="preserve">Hands shoulder-width</t>
  </si>
  <si>
    <t xml:space="preserve">Weighted Dips</t>
  </si>
  <si>
    <t xml:space="preserve">Chest/Triceps</t>
  </si>
  <si>
    <t xml:space="preserve">Keep chest up for triceps</t>
  </si>
  <si>
    <t xml:space="preserve">Skullcrushers (EZ Bar)</t>
  </si>
  <si>
    <t xml:space="preserve">12</t>
  </si>
  <si>
    <t xml:space="preserve">Triceps (Long Head)</t>
  </si>
  <si>
    <t xml:space="preserve">Lower bar to forehead</t>
  </si>
  <si>
    <t xml:space="preserve">PULL B (Fri)</t>
  </si>
  <si>
    <t xml:space="preserve">Deadlifts</t>
  </si>
  <si>
    <t xml:space="preserve">5</t>
  </si>
  <si>
    <t xml:space="preserve">120s</t>
  </si>
  <si>
    <t xml:space="preserve">Full Posterior Chain</t>
  </si>
  <si>
    <t xml:space="preserve">HEAVY. Hinge hips, neutral spine</t>
  </si>
  <si>
    <t xml:space="preserve">T-Bar Rows</t>
  </si>
  <si>
    <t xml:space="preserve">Squeeze shoulder blades</t>
  </si>
  <si>
    <t xml:space="preserve">Seated Cable Rows</t>
  </si>
  <si>
    <t xml:space="preserve">Mid Back</t>
  </si>
  <si>
    <t xml:space="preserve">Full stretch, pull to navel</t>
  </si>
  <si>
    <t xml:space="preserve">Reverse Pec Deck</t>
  </si>
  <si>
    <t xml:space="preserve">Rear Delts (Isolation)</t>
  </si>
  <si>
    <t xml:space="preserve">Squeeze rear delts hard</t>
  </si>
  <si>
    <t xml:space="preserve">Hammer Curls</t>
  </si>
  <si>
    <t xml:space="preserve">Brachialis/Forearm</t>
  </si>
  <si>
    <t xml:space="preserve">Neutral grip, controlled</t>
  </si>
  <si>
    <t xml:space="preserve">Finisher: Shrugs</t>
  </si>
  <si>
    <t xml:space="preserve">Traps</t>
  </si>
  <si>
    <t xml:space="preserve">Hold at top, squeeze traps</t>
  </si>
  <si>
    <t xml:space="preserve">LEGS B (Sat)</t>
  </si>
  <si>
    <t xml:space="preserve">Romanian Deadlifts (RDL)</t>
  </si>
  <si>
    <t xml:space="preserve">Hamstrings/Glutes</t>
  </si>
  <si>
    <t xml:space="preserve">Push hips back, deep stretch</t>
  </si>
  <si>
    <t xml:space="preserve">Bulgarian Split Squats</t>
  </si>
  <si>
    <t xml:space="preserve">10/leg</t>
  </si>
  <si>
    <t xml:space="preserve">Quads/Glutes (Unilateral)</t>
  </si>
  <si>
    <t xml:space="preserve">Back foot elevated, knee stable</t>
  </si>
  <si>
    <t xml:space="preserve">Leg Curls (Seated/Lying)</t>
  </si>
  <si>
    <t xml:space="preserve">Hamstrings (Isolation)</t>
  </si>
  <si>
    <t xml:space="preserve">Full ROM, control eccentric</t>
  </si>
  <si>
    <t xml:space="preserve">Lying Leg Raises</t>
  </si>
  <si>
    <t xml:space="preserve">Lower Abs</t>
  </si>
  <si>
    <t xml:space="preserve">Hands under glutes, heels up</t>
  </si>
  <si>
    <t xml:space="preserve">Russian Twists</t>
  </si>
  <si>
    <t xml:space="preserve">Obliques</t>
  </si>
  <si>
    <t xml:space="preserve">Hold weight plate, rotate fully</t>
  </si>
  <si>
    <t xml:space="preserve">Finisher: Sprints</t>
  </si>
  <si>
    <t xml:space="preserve">30s ON/OFF</t>
  </si>
  <si>
    <t xml:space="preserve">--</t>
  </si>
  <si>
    <t xml:space="preserve">Cardio/Conditioning</t>
  </si>
  <si>
    <t xml:space="preserve">Treadmill or outdoor</t>
  </si>
  <si>
    <t xml:space="preserve">🏆 PERSONAL RECORDS (PR) TRACKER</t>
  </si>
  <si>
    <t xml:space="preserve">Track your all-time bests. Beat last week's PR = Progress. Update after every breakthrough!</t>
  </si>
  <si>
    <t xml:space="preserve">Current PR (kg)</t>
  </si>
  <si>
    <t xml:space="preserve">PR Date</t>
  </si>
  <si>
    <t xml:space="preserve">Previous PR (kg)</t>
  </si>
  <si>
    <t xml:space="preserve">Improvement (kg)</t>
  </si>
  <si>
    <t xml:space="preserve">Reps at PR</t>
  </si>
  <si>
    <t xml:space="preserve">Milestone</t>
  </si>
  <si>
    <t xml:space="preserve">Goal (kg)</t>
  </si>
  <si>
    <t xml:space="preserve">Overhead Press</t>
  </si>
  <si>
    <t xml:space="preserve">Deadlift</t>
  </si>
  <si>
    <t xml:space="preserve">Pull-ups (Weighted)</t>
  </si>
  <si>
    <t xml:space="preserve">Incline DB Press</t>
  </si>
  <si>
    <t xml:space="preserve">Romanian Deadlifts</t>
  </si>
  <si>
    <t xml:space="preserve">Close-Grip Bench</t>
  </si>
  <si>
    <t xml:space="preserve">Bulgarian Split Squat</t>
  </si>
  <si>
    <t xml:space="preserve">📏 BODY MEASUREMENTS TRACKER — Goal: 75 kg Lean</t>
  </si>
  <si>
    <t xml:space="preserve">Measure every Sunday morning, fasted. Consistency in measurement = Accurate data.</t>
  </si>
  <si>
    <t xml:space="preserve">Bodyweight (kg)</t>
  </si>
  <si>
    <t xml:space="preserve">Chest (cm)</t>
  </si>
  <si>
    <t xml:space="preserve">Waist (cm)</t>
  </si>
  <si>
    <t xml:space="preserve">Hips (cm)</t>
  </si>
  <si>
    <t xml:space="preserve">Bicep (cm)</t>
  </si>
  <si>
    <t xml:space="preserve">Thigh (cm)</t>
  </si>
  <si>
    <t xml:space="preserve">📊 CHANGE SUMMARY (Week 5 vs Week 1)</t>
  </si>
  <si>
    <t xml:space="preserve">Metric</t>
  </si>
  <si>
    <t xml:space="preserve">Start</t>
  </si>
  <si>
    <t xml:space="preserve">End</t>
  </si>
  <si>
    <t xml:space="preserve">Change</t>
  </si>
  <si>
    <t xml:space="preserve">% Change</t>
  </si>
  <si>
    <t xml:space="preserve">Goal</t>
  </si>
  <si>
    <t xml:space="preserve">Goal: 75kg</t>
  </si>
  <si>
    <t xml:space="preserve">Goal: +2cm</t>
  </si>
  <si>
    <t xml:space="preserve">Goal: -2cm</t>
  </si>
  <si>
    <t xml:space="preserve">Goal: +1.5cm</t>
  </si>
  <si>
    <t xml:space="preserve">🥗 30-DAY NUTRITION &amp; RECOVERY TRACKER</t>
  </si>
  <si>
    <t xml:space="preserve">Daily protein target: 160g | Water: 3-4L | Sleep: 7-9 hrs | Fast until 12 PM (optional)</t>
  </si>
  <si>
    <t xml:space="preserve">Protein (g)</t>
  </si>
  <si>
    <t xml:space="preserve">Water (L)</t>
  </si>
  <si>
    <t xml:space="preserve">Sleep (hrs)</t>
  </si>
  <si>
    <t xml:space="preserve">Fasted?
(Y/N)</t>
  </si>
  <si>
    <t xml:space="preserve">Post-WO
Protein</t>
  </si>
  <si>
    <t xml:space="preserve">Calories
(est.)</t>
  </si>
  <si>
    <t xml:space="preserve">Mood
(1-10)</t>
  </si>
  <si>
    <t xml:space="preserve">06 Apr</t>
  </si>
  <si>
    <t xml:space="preserve">07 Apr</t>
  </si>
  <si>
    <t xml:space="preserve">08 Apr</t>
  </si>
  <si>
    <t xml:space="preserve">09 Apr</t>
  </si>
  <si>
    <t xml:space="preserve">10 Apr</t>
  </si>
  <si>
    <t xml:space="preserve">11 Apr</t>
  </si>
  <si>
    <t xml:space="preserve">12 Apr</t>
  </si>
  <si>
    <t xml:space="preserve">13 Apr</t>
  </si>
  <si>
    <t xml:space="preserve">14 Apr</t>
  </si>
  <si>
    <t xml:space="preserve">15 Apr</t>
  </si>
  <si>
    <t xml:space="preserve">16 Apr</t>
  </si>
  <si>
    <t xml:space="preserve">17 Apr</t>
  </si>
  <si>
    <t xml:space="preserve">18 Apr</t>
  </si>
  <si>
    <t xml:space="preserve">19 Apr</t>
  </si>
  <si>
    <t xml:space="preserve">20 Apr</t>
  </si>
  <si>
    <t xml:space="preserve">21 Apr</t>
  </si>
  <si>
    <t xml:space="preserve">22 Apr</t>
  </si>
  <si>
    <t xml:space="preserve">23 Apr</t>
  </si>
  <si>
    <t xml:space="preserve">24 Apr</t>
  </si>
  <si>
    <t xml:space="preserve">25 Apr</t>
  </si>
  <si>
    <t xml:space="preserve">26 Apr</t>
  </si>
  <si>
    <t xml:space="preserve">27 Apr</t>
  </si>
  <si>
    <t xml:space="preserve">28 Apr</t>
  </si>
  <si>
    <t xml:space="preserve">29 Apr</t>
  </si>
  <si>
    <t xml:space="preserve">30 Apr</t>
  </si>
  <si>
    <t xml:space="preserve">01 May</t>
  </si>
  <si>
    <t xml:space="preserve">02 May</t>
  </si>
  <si>
    <t xml:space="preserve">03 May</t>
  </si>
  <si>
    <t xml:space="preserve">04 May</t>
  </si>
  <si>
    <t xml:space="preserve">05 May</t>
  </si>
  <si>
    <t xml:space="preserve">TARGET →</t>
  </si>
  <si>
    <t xml:space="preserve">≥160g</t>
  </si>
  <si>
    <t xml:space="preserve">≥3L</t>
  </si>
  <si>
    <t xml:space="preserve">7-9 hrs</t>
  </si>
  <si>
    <t xml:space="preserve">Yes</t>
  </si>
  <si>
    <t xml:space="preserve">2800-3200</t>
  </si>
  <si>
    <t xml:space="preserve">≥7</t>
  </si>
  <si>
    <t xml:space="preserve">Consistency wins!</t>
  </si>
  <si>
    <t xml:space="preserve">MONTHLY AVG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</si>
</sst>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7AE60"/>
      <name val="Arial"/>
      <family val="0"/>
      <charset val="1"/>
    </font>
    <font>
      <b val="true"/>
      <sz val="20"/>
      <color rgb="FFE94560"/>
      <name val="Arial"/>
      <family val="0"/>
      <charset val="1"/>
    </font>
    <font>
      <b val="true"/>
      <sz val="20"/>
      <color rgb="FFF5A623"/>
      <name val="Arial"/>
      <family val="0"/>
      <charset val="1"/>
    </font>
    <font>
      <b val="true"/>
      <sz val="20"/>
      <color rgb="FF2980B9"/>
      <name val="Arial"/>
      <family val="0"/>
      <charset val="1"/>
    </font>
    <font>
      <b val="true"/>
      <sz val="20"/>
      <color rgb="FF8E44AD"/>
      <name val="Arial"/>
      <family val="0"/>
      <charset val="1"/>
    </font>
    <font>
      <b val="true"/>
      <sz val="20"/>
      <color rgb="FFE67E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E9456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0"/>
      <color rgb="FF0F346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94560"/>
        <bgColor rgb="FFFF8080"/>
      </patternFill>
    </fill>
    <fill>
      <patternFill patternType="solid">
        <fgColor rgb="FFF2F2F2"/>
        <bgColor rgb="FFF8F9FA"/>
      </patternFill>
    </fill>
    <fill>
      <patternFill patternType="solid">
        <fgColor rgb="FF27AE60"/>
        <bgColor rgb="FF1ABC9C"/>
      </patternFill>
    </fill>
    <fill>
      <patternFill patternType="solid">
        <fgColor rgb="FFF5A623"/>
        <bgColor rgb="FFE67E22"/>
      </patternFill>
    </fill>
    <fill>
      <patternFill patternType="solid">
        <fgColor rgb="FF2980B9"/>
        <bgColor rgb="FF008080"/>
      </patternFill>
    </fill>
    <fill>
      <patternFill patternType="solid">
        <fgColor rgb="FF8E44AD"/>
        <bgColor rgb="FF666699"/>
      </patternFill>
    </fill>
    <fill>
      <patternFill patternType="solid">
        <fgColor rgb="FFE67E22"/>
        <bgColor rgb="FFF5A623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8F9FA"/>
      </patternFill>
    </fill>
    <fill>
      <patternFill patternType="solid">
        <fgColor rgb="FFFFF3CD"/>
        <bgColor rgb="FFF2F2F2"/>
      </patternFill>
    </fill>
    <fill>
      <patternFill patternType="solid">
        <fgColor rgb="FFF8F9FA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FF3CD"/>
      </patternFill>
    </fill>
    <fill>
      <patternFill patternType="solid">
        <fgColor rgb="FFD6EAF8"/>
        <bgColor rgb="FFD5F5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5F5E3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88888"/>
      <rgbColor rgb="FF9999FF"/>
      <rgbColor rgb="FF8E44AD"/>
      <rgbColor rgb="FFFFF3C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8F9FA"/>
      <rgbColor rgb="FF99CCFF"/>
      <rgbColor rgb="FFFF99CC"/>
      <rgbColor rgb="FFCC99FF"/>
      <rgbColor rgb="FFFADBD8"/>
      <rgbColor rgb="FF3366FF"/>
      <rgbColor rgb="FF1ABC9C"/>
      <rgbColor rgb="FF99CC00"/>
      <rgbColor rgb="FFFFCC00"/>
      <rgbColor rgb="FFF5A623"/>
      <rgbColor rgb="FFE67E22"/>
      <rgbColor rgb="FF666699"/>
      <rgbColor rgb="FF969696"/>
      <rgbColor rgb="FF0F3460"/>
      <rgbColor rgb="FF27AE60"/>
      <rgbColor rgb="FF003300"/>
      <rgbColor rgb="FF1A1A2E"/>
      <rgbColor rgb="FF993300"/>
      <rgbColor rgb="FFE94560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4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B3" s="3" t="s">
        <v>2</v>
      </c>
      <c r="C3" s="3"/>
      <c r="D3" s="4" t="s">
        <v>3</v>
      </c>
      <c r="E3" s="4"/>
      <c r="F3" s="5" t="s">
        <v>4</v>
      </c>
      <c r="G3" s="5"/>
      <c r="H3" s="6" t="s">
        <v>5</v>
      </c>
      <c r="I3" s="6"/>
      <c r="J3" s="7" t="s">
        <v>6</v>
      </c>
      <c r="K3" s="7"/>
      <c r="L3" s="8" t="s">
        <v>7</v>
      </c>
      <c r="M3" s="8"/>
    </row>
    <row r="4" customFormat="false" ht="39.75" hidden="false" customHeight="true" outlineLevel="0" collapsed="false">
      <c r="B4" s="9" t="n">
        <f aca="false">COUNTIF('📋 Daily Log'!D4:D33,"✅ Done")</f>
        <v>0</v>
      </c>
      <c r="C4" s="9"/>
      <c r="D4" s="10" t="n">
        <f aca="false">COUNTIF('📋 Daily Log'!D4:D33,"❌ Missed")</f>
        <v>0</v>
      </c>
      <c r="E4" s="10"/>
      <c r="F4" s="11" t="n">
        <f aca="false">MAX('📋 Daily Log'!F4:F33)</f>
        <v>0</v>
      </c>
      <c r="G4" s="11"/>
      <c r="H4" s="12" t="str">
        <f aca="false">TEXT(COUNTIF('📋 Daily Log'!D4:D33,"✅ Done")/30,"0%")</f>
        <v>0%</v>
      </c>
      <c r="I4" s="12"/>
      <c r="J4" s="13" t="n">
        <f aca="false">IFERROR(SUM('📋 Daily Log'!G4:G33),0)</f>
        <v>0</v>
      </c>
      <c r="K4" s="13"/>
      <c r="L4" s="14" t="n">
        <f aca="false">IFERROR(AVERAGE(IF('📋 Daily Log'!G4:G33&gt;0,'📋 Daily Log'!G4:G33)),"-")</f>
        <v>0</v>
      </c>
      <c r="M4" s="14"/>
    </row>
    <row r="5" customFormat="false" ht="18" hidden="false" customHeight="true" outlineLevel="0" collapsed="false"/>
    <row r="6" customFormat="false" ht="21.75" hidden="false" customHeight="true" outlineLevel="0" collapsed="false">
      <c r="A6" s="15" t="s">
        <v>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customFormat="false" ht="15" hidden="false" customHeight="false" outlineLevel="0" collapsed="false">
      <c r="A7" s="16" t="s">
        <v>9</v>
      </c>
      <c r="B7" s="16" t="s">
        <v>10</v>
      </c>
      <c r="C7" s="16" t="s">
        <v>11</v>
      </c>
      <c r="D7" s="16" t="s">
        <v>12</v>
      </c>
      <c r="E7" s="16" t="s">
        <v>13</v>
      </c>
      <c r="F7" s="16" t="s">
        <v>14</v>
      </c>
      <c r="G7" s="16" t="s">
        <v>15</v>
      </c>
      <c r="H7" s="16" t="s">
        <v>16</v>
      </c>
      <c r="I7" s="16" t="s">
        <v>17</v>
      </c>
    </row>
    <row r="8" customFormat="false" ht="19.5" hidden="false" customHeight="true" outlineLevel="0" collapsed="false">
      <c r="A8" s="17" t="s">
        <v>18</v>
      </c>
      <c r="B8" s="17" t="n">
        <f aca="false">COUNTIF('📋 Daily Log'!D4:D9,"✅ Done")</f>
        <v>0</v>
      </c>
      <c r="C8" s="17" t="n">
        <f aca="false">COUNTIF('📋 Daily Log'!D4:D9,"❌ Missed")</f>
        <v>0</v>
      </c>
      <c r="D8" s="17" t="str">
        <f aca="false">IFERROR(TEXT(B8/6,"0%"),"-")</f>
        <v>0%</v>
      </c>
      <c r="E8" s="17" t="n">
        <f aca="false">COUNTIF('📋 Daily Log'!D4:D9,"✅ Done")</f>
        <v>0</v>
      </c>
      <c r="F8" s="17" t="n">
        <f aca="false">IFERROR(SUMIF('📋 Daily Log'!D4:D9,"✅ Done",'📋 Daily Log'!G4:G9),0)</f>
        <v>0</v>
      </c>
      <c r="G8" s="17" t="str">
        <f aca="false">IFERROR(F8/B8,"-")</f>
        <v>-</v>
      </c>
      <c r="H8" s="17" t="str">
        <f aca="false">IFERROR(INDEX('📋 Daily Log'!C4:C9,MATCH(MAX('📋 Daily Log'!G4:G9),'📋 Daily Log'!G4:G9,0)),"-")</f>
        <v>-</v>
      </c>
      <c r="I8" s="17" t="str">
        <f aca="false">IF(D8="100%","🔥 Perfect",IF(B8&gt;=4,"✅ Good",IF(B8&gt;=3,"⚠️ OK","❌ Weak")))</f>
        <v>❌ Weak</v>
      </c>
    </row>
    <row r="9" customFormat="false" ht="19.5" hidden="false" customHeight="true" outlineLevel="0" collapsed="false">
      <c r="A9" s="18" t="s">
        <v>19</v>
      </c>
      <c r="B9" s="18" t="n">
        <f aca="false">COUNTIF('📋 Daily Log'!D10:D15,"✅ Done")</f>
        <v>0</v>
      </c>
      <c r="C9" s="18" t="n">
        <f aca="false">COUNTIF('📋 Daily Log'!D10:D15,"❌ Missed")</f>
        <v>0</v>
      </c>
      <c r="D9" s="18" t="str">
        <f aca="false">IFERROR(TEXT(B9/6,"0%"),"-")</f>
        <v>0%</v>
      </c>
      <c r="E9" s="18" t="n">
        <f aca="false">COUNTIF('📋 Daily Log'!D10:D15,"✅ Done")</f>
        <v>0</v>
      </c>
      <c r="F9" s="18" t="n">
        <f aca="false">IFERROR(SUMIF('📋 Daily Log'!D10:D15,"✅ Done",'📋 Daily Log'!G10:G15),0)</f>
        <v>0</v>
      </c>
      <c r="G9" s="18" t="str">
        <f aca="false">IFERROR(F9/B9,"-")</f>
        <v>-</v>
      </c>
      <c r="H9" s="18" t="str">
        <f aca="false">IFERROR(INDEX('📋 Daily Log'!C10:C15,MATCH(MAX('📋 Daily Log'!G10:G15),'📋 Daily Log'!G10:G15,0)),"-")</f>
        <v>-</v>
      </c>
      <c r="I9" s="18" t="str">
        <f aca="false">IF(D9="100%","🔥 Perfect",IF(B9&gt;=4,"✅ Good",IF(B9&gt;=3,"⚠️ OK","❌ Weak")))</f>
        <v>❌ Weak</v>
      </c>
    </row>
    <row r="10" customFormat="false" ht="19.5" hidden="false" customHeight="true" outlineLevel="0" collapsed="false">
      <c r="A10" s="17" t="s">
        <v>20</v>
      </c>
      <c r="B10" s="17" t="n">
        <f aca="false">COUNTIF('📋 Daily Log'!D16:D21,"✅ Done")</f>
        <v>0</v>
      </c>
      <c r="C10" s="17" t="n">
        <f aca="false">COUNTIF('📋 Daily Log'!D16:D21,"❌ Missed")</f>
        <v>0</v>
      </c>
      <c r="D10" s="17" t="str">
        <f aca="false">IFERROR(TEXT(B10/6,"0%"),"-")</f>
        <v>0%</v>
      </c>
      <c r="E10" s="17" t="n">
        <f aca="false">COUNTIF('📋 Daily Log'!D16:D21,"✅ Done")</f>
        <v>0</v>
      </c>
      <c r="F10" s="17" t="n">
        <f aca="false">IFERROR(SUMIF('📋 Daily Log'!D16:D21,"✅ Done",'📋 Daily Log'!G16:G21),0)</f>
        <v>0</v>
      </c>
      <c r="G10" s="17" t="str">
        <f aca="false">IFERROR(F10/B10,"-")</f>
        <v>-</v>
      </c>
      <c r="H10" s="17" t="str">
        <f aca="false">IFERROR(INDEX('📋 Daily Log'!C16:C21,MATCH(MAX('📋 Daily Log'!G16:G21),'📋 Daily Log'!G16:G21,0)),"-")</f>
        <v>-</v>
      </c>
      <c r="I10" s="17" t="str">
        <f aca="false">IF(D10="100%","🔥 Perfect",IF(B10&gt;=4,"✅ Good",IF(B10&gt;=3,"⚠️ OK","❌ Weak")))</f>
        <v>❌ Weak</v>
      </c>
    </row>
    <row r="11" customFormat="false" ht="19.5" hidden="false" customHeight="true" outlineLevel="0" collapsed="false">
      <c r="A11" s="18" t="s">
        <v>21</v>
      </c>
      <c r="B11" s="18" t="n">
        <f aca="false">COUNTIF('📋 Daily Log'!D22:D27,"✅ Done")</f>
        <v>0</v>
      </c>
      <c r="C11" s="18" t="n">
        <f aca="false">COUNTIF('📋 Daily Log'!D22:D27,"❌ Missed")</f>
        <v>0</v>
      </c>
      <c r="D11" s="18" t="str">
        <f aca="false">IFERROR(TEXT(B11/6,"0%"),"-")</f>
        <v>0%</v>
      </c>
      <c r="E11" s="18" t="n">
        <f aca="false">COUNTIF('📋 Daily Log'!D22:D27,"✅ Done")</f>
        <v>0</v>
      </c>
      <c r="F11" s="18" t="n">
        <f aca="false">IFERROR(SUMIF('📋 Daily Log'!D22:D27,"✅ Done",'📋 Daily Log'!G22:G27),0)</f>
        <v>0</v>
      </c>
      <c r="G11" s="18" t="str">
        <f aca="false">IFERROR(F11/B11,"-")</f>
        <v>-</v>
      </c>
      <c r="H11" s="18" t="str">
        <f aca="false">IFERROR(INDEX('📋 Daily Log'!C22:C27,MATCH(MAX('📋 Daily Log'!G22:G27),'📋 Daily Log'!G22:G27,0)),"-")</f>
        <v>-</v>
      </c>
      <c r="I11" s="18" t="str">
        <f aca="false">IF(D11="100%","🔥 Perfect",IF(B11&gt;=4,"✅ Good",IF(B11&gt;=3,"⚠️ OK","❌ Weak")))</f>
        <v>❌ Weak</v>
      </c>
    </row>
    <row r="12" customFormat="false" ht="19.5" hidden="false" customHeight="true" outlineLevel="0" collapsed="false">
      <c r="A12" s="17" t="s">
        <v>22</v>
      </c>
      <c r="B12" s="17" t="n">
        <f aca="false">COUNTIF('📋 Daily Log'!D28:D33,"✅ Done")</f>
        <v>0</v>
      </c>
      <c r="C12" s="17" t="n">
        <f aca="false">COUNTIF('📋 Daily Log'!D28:D33,"❌ Missed")</f>
        <v>0</v>
      </c>
      <c r="D12" s="17" t="str">
        <f aca="false">IFERROR(TEXT(B12/6,"0%"),"-")</f>
        <v>0%</v>
      </c>
      <c r="E12" s="17" t="n">
        <f aca="false">COUNTIF('📋 Daily Log'!D28:D33,"✅ Done")</f>
        <v>0</v>
      </c>
      <c r="F12" s="17" t="n">
        <f aca="false">IFERROR(SUMIF('📋 Daily Log'!D28:D33,"✅ Done",'📋 Daily Log'!G28:G33),0)</f>
        <v>0</v>
      </c>
      <c r="G12" s="17" t="str">
        <f aca="false">IFERROR(F12/B12,"-")</f>
        <v>-</v>
      </c>
      <c r="H12" s="17" t="str">
        <f aca="false">IFERROR(INDEX('📋 Daily Log'!C28:C33,MATCH(MAX('📋 Daily Log'!G28:G33),'📋 Daily Log'!G28:G33,0)),"-")</f>
        <v>-</v>
      </c>
      <c r="I12" s="17" t="str">
        <f aca="false">IF(D12="100%","🔥 Perfect",IF(B12&gt;=4,"✅ Good",IF(B12&gt;=3,"⚠️ OK","❌ Weak")))</f>
        <v>❌ Weak</v>
      </c>
    </row>
    <row r="14" customFormat="false" ht="15" hidden="false" customHeight="true" outlineLevel="0" collapsed="false">
      <c r="A14" s="15" t="s">
        <v>23</v>
      </c>
      <c r="B14" s="15"/>
      <c r="C14" s="15"/>
      <c r="D14" s="15"/>
      <c r="E14" s="15"/>
      <c r="F14" s="15"/>
    </row>
    <row r="15" customFormat="false" ht="19.5" hidden="false" customHeight="true" outlineLevel="0" collapsed="false">
      <c r="A15" s="19" t="s">
        <v>24</v>
      </c>
      <c r="B15" s="20" t="n">
        <f aca="false">COUNTIF('📋 Daily Log'!C4:C33,"*PUSH A*")</f>
        <v>5</v>
      </c>
      <c r="C15" s="21" t="s">
        <v>25</v>
      </c>
      <c r="D15" s="22" t="str">
        <f aca="false">IFERROR(REPT("█",B15)&amp;REPT("░",MAX(0,8-B15)),"░░░░░░░░")</f>
        <v>█████░░░</v>
      </c>
    </row>
    <row r="16" customFormat="false" ht="19.5" hidden="false" customHeight="true" outlineLevel="0" collapsed="false">
      <c r="A16" s="23" t="s">
        <v>26</v>
      </c>
      <c r="B16" s="24" t="n">
        <f aca="false">COUNTIF('📋 Daily Log'!C4:C33,"*PULL*")</f>
        <v>9</v>
      </c>
      <c r="C16" s="25" t="s">
        <v>25</v>
      </c>
      <c r="D16" s="26" t="str">
        <f aca="false">IFERROR(REPT("█",B16)&amp;REPT("░",MAX(0,8-B16)),"░░░░░░░░")</f>
        <v>█████████</v>
      </c>
    </row>
    <row r="17" customFormat="false" ht="19.5" hidden="false" customHeight="true" outlineLevel="0" collapsed="false">
      <c r="A17" s="19" t="s">
        <v>27</v>
      </c>
      <c r="B17" s="20" t="n">
        <f aca="false">COUNTIF('📋 Daily Log'!C4:C33,"*PUSH B*")</f>
        <v>4</v>
      </c>
      <c r="C17" s="21" t="s">
        <v>25</v>
      </c>
      <c r="D17" s="22" t="str">
        <f aca="false">IFERROR(REPT("█",B17)&amp;REPT("░",MAX(0,8-B17)),"░░░░░░░░")</f>
        <v>████░░░░</v>
      </c>
    </row>
    <row r="18" customFormat="false" ht="19.5" hidden="false" customHeight="true" outlineLevel="0" collapsed="false">
      <c r="A18" s="23" t="s">
        <v>28</v>
      </c>
      <c r="B18" s="24" t="n">
        <f aca="false">COUNTIF('📋 Daily Log'!C4:C33,"*LEGS A*")</f>
        <v>4</v>
      </c>
      <c r="C18" s="25" t="s">
        <v>25</v>
      </c>
      <c r="D18" s="26" t="str">
        <f aca="false">IFERROR(REPT("█",B18)&amp;REPT("░",MAX(0,8-B18)),"░░░░░░░░")</f>
        <v>████░░░░</v>
      </c>
    </row>
    <row r="19" customFormat="false" ht="19.5" hidden="false" customHeight="true" outlineLevel="0" collapsed="false">
      <c r="A19" s="19" t="s">
        <v>29</v>
      </c>
      <c r="B19" s="20" t="n">
        <f aca="false">COUNTIF('📋 Daily Log'!C4:C33,"*LEGS B*")</f>
        <v>4</v>
      </c>
      <c r="C19" s="21" t="s">
        <v>25</v>
      </c>
      <c r="D19" s="22" t="str">
        <f aca="false">IFERROR(REPT("█",B19)&amp;REPT("░",MAX(0,8-B19)),"░░░░░░░░")</f>
        <v>████░░░░</v>
      </c>
    </row>
    <row r="20" customFormat="false" ht="19.5" hidden="false" customHeight="true" outlineLevel="0" collapsed="false">
      <c r="A20" s="23" t="s">
        <v>30</v>
      </c>
      <c r="B20" s="24" t="n">
        <f aca="false">COUNTIF('📋 Daily Log'!C4:C33,"*PULL*")</f>
        <v>9</v>
      </c>
      <c r="C20" s="25" t="s">
        <v>25</v>
      </c>
      <c r="D20" s="26" t="str">
        <f aca="false">IFERROR(REPT("█",B20)&amp;REPT("░",MAX(0,8-B20)),"░░░░░░░░")</f>
        <v>█████████</v>
      </c>
    </row>
    <row r="21" customFormat="false" ht="19.5" hidden="false" customHeight="true" outlineLevel="0" collapsed="false">
      <c r="A21" s="19" t="s">
        <v>31</v>
      </c>
      <c r="B21" s="20" t="n">
        <f aca="false">COUNTIF('📋 Daily Log'!C4:C33,"*PUSH*")</f>
        <v>9</v>
      </c>
      <c r="C21" s="21" t="s">
        <v>25</v>
      </c>
      <c r="D21" s="22" t="str">
        <f aca="false">IFERROR(REPT("█",B21)&amp;REPT("░",MAX(0,8-B21)),"░░░░░░░░")</f>
        <v>█████████</v>
      </c>
    </row>
    <row r="22" customFormat="false" ht="19.5" hidden="false" customHeight="true" outlineLevel="0" collapsed="false">
      <c r="A22" s="23" t="s">
        <v>32</v>
      </c>
      <c r="B22" s="24" t="n">
        <f aca="false">COUNTIF('📋 Daily Log'!C4:C33,"*LEGS*")</f>
        <v>8</v>
      </c>
      <c r="C22" s="25" t="s">
        <v>25</v>
      </c>
      <c r="D22" s="26" t="str">
        <f aca="false">IFERROR(REPT("█",B22)&amp;REPT("░",MAX(0,8-B22)),"░░░░░░░░")</f>
        <v>████████</v>
      </c>
    </row>
  </sheetData>
  <mergeCells count="16">
    <mergeCell ref="A1:M1"/>
    <mergeCell ref="A2:M2"/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  <mergeCell ref="A6:M6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28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3" min="12" style="0" width="12"/>
    <col collapsed="false" customWidth="true" hidden="false" outlineLevel="0" max="14" min="14" style="0" width="25"/>
  </cols>
  <sheetData>
    <row r="1" customFormat="false" ht="39.75" hidden="false" customHeight="true" outlineLevel="0" collapsed="false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5" hidden="false" customHeight="true" outlineLevel="0" collapsed="false">
      <c r="A2" s="28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customFormat="false" ht="39.75" hidden="false" customHeight="true" outlineLevel="0" collapsed="false">
      <c r="A3" s="29" t="s">
        <v>35</v>
      </c>
      <c r="B3" s="29" t="s">
        <v>36</v>
      </c>
      <c r="C3" s="29" t="s">
        <v>37</v>
      </c>
      <c r="D3" s="29" t="s">
        <v>38</v>
      </c>
      <c r="E3" s="29" t="s">
        <v>39</v>
      </c>
      <c r="F3" s="29" t="s">
        <v>40</v>
      </c>
      <c r="G3" s="29" t="s">
        <v>41</v>
      </c>
      <c r="H3" s="29" t="s">
        <v>42</v>
      </c>
      <c r="I3" s="29" t="s">
        <v>43</v>
      </c>
      <c r="J3" s="29" t="s">
        <v>44</v>
      </c>
      <c r="K3" s="29" t="s">
        <v>45</v>
      </c>
      <c r="L3" s="29" t="s">
        <v>46</v>
      </c>
      <c r="M3" s="29" t="s">
        <v>47</v>
      </c>
      <c r="N3" s="29" t="s">
        <v>48</v>
      </c>
    </row>
    <row r="4" customFormat="false" ht="21.75" hidden="false" customHeight="true" outlineLevel="0" collapsed="false">
      <c r="A4" s="30" t="n">
        <v>1</v>
      </c>
      <c r="B4" s="17" t="s">
        <v>49</v>
      </c>
      <c r="C4" s="30" t="s">
        <v>50</v>
      </c>
      <c r="D4" s="17"/>
      <c r="E4" s="31"/>
      <c r="F4" s="31"/>
      <c r="G4" s="17"/>
      <c r="H4" s="17"/>
      <c r="I4" s="17"/>
      <c r="J4" s="17"/>
      <c r="K4" s="31"/>
      <c r="L4" s="17"/>
      <c r="M4" s="17"/>
      <c r="N4" s="31"/>
    </row>
    <row r="5" customFormat="false" ht="21.75" hidden="false" customHeight="true" outlineLevel="0" collapsed="false">
      <c r="A5" s="32" t="n">
        <v>2</v>
      </c>
      <c r="B5" s="33" t="s">
        <v>51</v>
      </c>
      <c r="C5" s="34" t="s">
        <v>52</v>
      </c>
      <c r="D5" s="33"/>
      <c r="E5" s="35"/>
      <c r="F5" s="35"/>
      <c r="G5" s="33"/>
      <c r="H5" s="33"/>
      <c r="I5" s="33"/>
      <c r="J5" s="33"/>
      <c r="K5" s="35"/>
      <c r="L5" s="33"/>
      <c r="M5" s="33"/>
      <c r="N5" s="35"/>
    </row>
    <row r="6" customFormat="false" ht="21.75" hidden="false" customHeight="true" outlineLevel="0" collapsed="false">
      <c r="A6" s="30" t="n">
        <v>3</v>
      </c>
      <c r="B6" s="17" t="s">
        <v>53</v>
      </c>
      <c r="C6" s="36" t="s">
        <v>54</v>
      </c>
      <c r="D6" s="17"/>
      <c r="E6" s="31"/>
      <c r="F6" s="31"/>
      <c r="G6" s="17"/>
      <c r="H6" s="17"/>
      <c r="I6" s="17"/>
      <c r="J6" s="17"/>
      <c r="K6" s="31"/>
      <c r="L6" s="17"/>
      <c r="M6" s="17"/>
      <c r="N6" s="31"/>
    </row>
    <row r="7" customFormat="false" ht="21.75" hidden="false" customHeight="true" outlineLevel="0" collapsed="false">
      <c r="A7" s="32" t="n">
        <v>4</v>
      </c>
      <c r="B7" s="33" t="s">
        <v>55</v>
      </c>
      <c r="C7" s="37" t="s">
        <v>56</v>
      </c>
      <c r="D7" s="33"/>
      <c r="E7" s="35"/>
      <c r="F7" s="35"/>
      <c r="G7" s="33"/>
      <c r="H7" s="33"/>
      <c r="I7" s="33"/>
      <c r="J7" s="33"/>
      <c r="K7" s="35"/>
      <c r="L7" s="33"/>
      <c r="M7" s="33"/>
      <c r="N7" s="35"/>
    </row>
    <row r="8" customFormat="false" ht="21.75" hidden="false" customHeight="true" outlineLevel="0" collapsed="false">
      <c r="A8" s="30" t="n">
        <v>5</v>
      </c>
      <c r="B8" s="17" t="s">
        <v>57</v>
      </c>
      <c r="C8" s="38" t="s">
        <v>58</v>
      </c>
      <c r="D8" s="17"/>
      <c r="E8" s="31"/>
      <c r="F8" s="31"/>
      <c r="G8" s="17"/>
      <c r="H8" s="17"/>
      <c r="I8" s="17"/>
      <c r="J8" s="17"/>
      <c r="K8" s="31"/>
      <c r="L8" s="17"/>
      <c r="M8" s="17"/>
      <c r="N8" s="31"/>
    </row>
    <row r="9" customFormat="false" ht="21.75" hidden="false" customHeight="true" outlineLevel="0" collapsed="false">
      <c r="A9" s="32" t="n">
        <v>6</v>
      </c>
      <c r="B9" s="33" t="s">
        <v>59</v>
      </c>
      <c r="C9" s="39" t="s">
        <v>60</v>
      </c>
      <c r="D9" s="33"/>
      <c r="E9" s="35"/>
      <c r="F9" s="35"/>
      <c r="G9" s="33"/>
      <c r="H9" s="33"/>
      <c r="I9" s="33"/>
      <c r="J9" s="33"/>
      <c r="K9" s="35"/>
      <c r="L9" s="33"/>
      <c r="M9" s="33"/>
      <c r="N9" s="35"/>
    </row>
    <row r="10" customFormat="false" ht="21.75" hidden="false" customHeight="true" outlineLevel="0" collapsed="false">
      <c r="A10" s="40" t="n">
        <v>7</v>
      </c>
      <c r="B10" s="41" t="s">
        <v>61</v>
      </c>
      <c r="C10" s="42" t="s">
        <v>62</v>
      </c>
      <c r="D10" s="41" t="s">
        <v>63</v>
      </c>
      <c r="E10" s="43"/>
      <c r="F10" s="43"/>
      <c r="G10" s="41"/>
      <c r="H10" s="41"/>
      <c r="I10" s="41"/>
      <c r="J10" s="41" t="s">
        <v>64</v>
      </c>
      <c r="K10" s="43"/>
      <c r="L10" s="41"/>
      <c r="M10" s="41"/>
      <c r="N10" s="43"/>
    </row>
    <row r="11" customFormat="false" ht="21.75" hidden="false" customHeight="true" outlineLevel="0" collapsed="false">
      <c r="A11" s="32" t="n">
        <v>8</v>
      </c>
      <c r="B11" s="33" t="s">
        <v>65</v>
      </c>
      <c r="C11" s="32" t="s">
        <v>50</v>
      </c>
      <c r="D11" s="33"/>
      <c r="E11" s="35"/>
      <c r="F11" s="35"/>
      <c r="G11" s="33"/>
      <c r="H11" s="33"/>
      <c r="I11" s="33"/>
      <c r="J11" s="33"/>
      <c r="K11" s="35"/>
      <c r="L11" s="33"/>
      <c r="M11" s="33"/>
      <c r="N11" s="35"/>
    </row>
    <row r="12" customFormat="false" ht="21.75" hidden="false" customHeight="true" outlineLevel="0" collapsed="false">
      <c r="A12" s="30" t="n">
        <v>9</v>
      </c>
      <c r="B12" s="17" t="s">
        <v>66</v>
      </c>
      <c r="C12" s="44" t="s">
        <v>52</v>
      </c>
      <c r="D12" s="17"/>
      <c r="E12" s="31"/>
      <c r="F12" s="31"/>
      <c r="G12" s="17"/>
      <c r="H12" s="17"/>
      <c r="I12" s="17"/>
      <c r="J12" s="17"/>
      <c r="K12" s="31"/>
      <c r="L12" s="17"/>
      <c r="M12" s="17"/>
      <c r="N12" s="31"/>
    </row>
    <row r="13" customFormat="false" ht="21.75" hidden="false" customHeight="true" outlineLevel="0" collapsed="false">
      <c r="A13" s="32" t="n">
        <v>10</v>
      </c>
      <c r="B13" s="33" t="s">
        <v>67</v>
      </c>
      <c r="C13" s="45" t="s">
        <v>54</v>
      </c>
      <c r="D13" s="33"/>
      <c r="E13" s="35"/>
      <c r="F13" s="35"/>
      <c r="G13" s="33"/>
      <c r="H13" s="33"/>
      <c r="I13" s="33"/>
      <c r="J13" s="33"/>
      <c r="K13" s="35"/>
      <c r="L13" s="33"/>
      <c r="M13" s="33"/>
      <c r="N13" s="35"/>
    </row>
    <row r="14" customFormat="false" ht="21.75" hidden="false" customHeight="true" outlineLevel="0" collapsed="false">
      <c r="A14" s="30" t="n">
        <v>11</v>
      </c>
      <c r="B14" s="17" t="s">
        <v>68</v>
      </c>
      <c r="C14" s="46" t="s">
        <v>56</v>
      </c>
      <c r="D14" s="17"/>
      <c r="E14" s="31"/>
      <c r="F14" s="31"/>
      <c r="G14" s="17"/>
      <c r="H14" s="17"/>
      <c r="I14" s="17"/>
      <c r="J14" s="17"/>
      <c r="K14" s="31"/>
      <c r="L14" s="17"/>
      <c r="M14" s="17"/>
      <c r="N14" s="31"/>
    </row>
    <row r="15" customFormat="false" ht="21.75" hidden="false" customHeight="true" outlineLevel="0" collapsed="false">
      <c r="A15" s="32" t="n">
        <v>12</v>
      </c>
      <c r="B15" s="33" t="s">
        <v>69</v>
      </c>
      <c r="C15" s="47" t="s">
        <v>58</v>
      </c>
      <c r="D15" s="33"/>
      <c r="E15" s="35"/>
      <c r="F15" s="35"/>
      <c r="G15" s="33"/>
      <c r="H15" s="33"/>
      <c r="I15" s="33"/>
      <c r="J15" s="33"/>
      <c r="K15" s="35"/>
      <c r="L15" s="33"/>
      <c r="M15" s="33"/>
      <c r="N15" s="35"/>
    </row>
    <row r="16" customFormat="false" ht="21.75" hidden="false" customHeight="true" outlineLevel="0" collapsed="false">
      <c r="A16" s="30" t="n">
        <v>13</v>
      </c>
      <c r="B16" s="17" t="s">
        <v>70</v>
      </c>
      <c r="C16" s="48" t="s">
        <v>60</v>
      </c>
      <c r="D16" s="17"/>
      <c r="E16" s="31"/>
      <c r="F16" s="31"/>
      <c r="G16" s="17"/>
      <c r="H16" s="17"/>
      <c r="I16" s="17"/>
      <c r="J16" s="17"/>
      <c r="K16" s="31"/>
      <c r="L16" s="17"/>
      <c r="M16" s="17"/>
      <c r="N16" s="31"/>
    </row>
    <row r="17" customFormat="false" ht="21.75" hidden="false" customHeight="true" outlineLevel="0" collapsed="false">
      <c r="A17" s="40" t="n">
        <v>14</v>
      </c>
      <c r="B17" s="41" t="s">
        <v>71</v>
      </c>
      <c r="C17" s="42" t="s">
        <v>62</v>
      </c>
      <c r="D17" s="41" t="s">
        <v>63</v>
      </c>
      <c r="E17" s="43"/>
      <c r="F17" s="43"/>
      <c r="G17" s="41"/>
      <c r="H17" s="41"/>
      <c r="I17" s="41"/>
      <c r="J17" s="41" t="s">
        <v>64</v>
      </c>
      <c r="K17" s="43"/>
      <c r="L17" s="41"/>
      <c r="M17" s="41"/>
      <c r="N17" s="43"/>
    </row>
    <row r="18" customFormat="false" ht="21.75" hidden="false" customHeight="true" outlineLevel="0" collapsed="false">
      <c r="A18" s="30" t="n">
        <v>15</v>
      </c>
      <c r="B18" s="17" t="s">
        <v>72</v>
      </c>
      <c r="C18" s="30" t="s">
        <v>50</v>
      </c>
      <c r="D18" s="17"/>
      <c r="E18" s="31"/>
      <c r="F18" s="31"/>
      <c r="G18" s="17"/>
      <c r="H18" s="17"/>
      <c r="I18" s="17"/>
      <c r="J18" s="17"/>
      <c r="K18" s="31"/>
      <c r="L18" s="17"/>
      <c r="M18" s="17"/>
      <c r="N18" s="31"/>
    </row>
    <row r="19" customFormat="false" ht="21.75" hidden="false" customHeight="true" outlineLevel="0" collapsed="false">
      <c r="A19" s="32" t="n">
        <v>16</v>
      </c>
      <c r="B19" s="33" t="s">
        <v>73</v>
      </c>
      <c r="C19" s="34" t="s">
        <v>52</v>
      </c>
      <c r="D19" s="33"/>
      <c r="E19" s="35"/>
      <c r="F19" s="35"/>
      <c r="G19" s="33"/>
      <c r="H19" s="33"/>
      <c r="I19" s="33"/>
      <c r="J19" s="33"/>
      <c r="K19" s="35"/>
      <c r="L19" s="33"/>
      <c r="M19" s="33"/>
      <c r="N19" s="35"/>
    </row>
    <row r="20" customFormat="false" ht="21.75" hidden="false" customHeight="true" outlineLevel="0" collapsed="false">
      <c r="A20" s="30" t="n">
        <v>17</v>
      </c>
      <c r="B20" s="17" t="s">
        <v>74</v>
      </c>
      <c r="C20" s="36" t="s">
        <v>54</v>
      </c>
      <c r="D20" s="17"/>
      <c r="E20" s="31"/>
      <c r="F20" s="31"/>
      <c r="G20" s="17"/>
      <c r="H20" s="17"/>
      <c r="I20" s="17"/>
      <c r="J20" s="17"/>
      <c r="K20" s="31"/>
      <c r="L20" s="17"/>
      <c r="M20" s="17"/>
      <c r="N20" s="31"/>
    </row>
    <row r="21" customFormat="false" ht="21.75" hidden="false" customHeight="true" outlineLevel="0" collapsed="false">
      <c r="A21" s="32" t="n">
        <v>18</v>
      </c>
      <c r="B21" s="33" t="s">
        <v>75</v>
      </c>
      <c r="C21" s="37" t="s">
        <v>56</v>
      </c>
      <c r="D21" s="33"/>
      <c r="E21" s="35"/>
      <c r="F21" s="35"/>
      <c r="G21" s="33"/>
      <c r="H21" s="33"/>
      <c r="I21" s="33"/>
      <c r="J21" s="33"/>
      <c r="K21" s="35"/>
      <c r="L21" s="33"/>
      <c r="M21" s="33"/>
      <c r="N21" s="35"/>
    </row>
    <row r="22" customFormat="false" ht="21.75" hidden="false" customHeight="true" outlineLevel="0" collapsed="false">
      <c r="A22" s="30" t="n">
        <v>19</v>
      </c>
      <c r="B22" s="17" t="s">
        <v>76</v>
      </c>
      <c r="C22" s="38" t="s">
        <v>58</v>
      </c>
      <c r="D22" s="17"/>
      <c r="E22" s="31"/>
      <c r="F22" s="31"/>
      <c r="G22" s="17"/>
      <c r="H22" s="17"/>
      <c r="I22" s="17"/>
      <c r="J22" s="17"/>
      <c r="K22" s="31"/>
      <c r="L22" s="17"/>
      <c r="M22" s="17"/>
      <c r="N22" s="31"/>
    </row>
    <row r="23" customFormat="false" ht="21.75" hidden="false" customHeight="true" outlineLevel="0" collapsed="false">
      <c r="A23" s="32" t="n">
        <v>20</v>
      </c>
      <c r="B23" s="33" t="s">
        <v>77</v>
      </c>
      <c r="C23" s="39" t="s">
        <v>60</v>
      </c>
      <c r="D23" s="33"/>
      <c r="E23" s="35"/>
      <c r="F23" s="35"/>
      <c r="G23" s="33"/>
      <c r="H23" s="33"/>
      <c r="I23" s="33"/>
      <c r="J23" s="33"/>
      <c r="K23" s="35"/>
      <c r="L23" s="33"/>
      <c r="M23" s="33"/>
      <c r="N23" s="35"/>
    </row>
    <row r="24" customFormat="false" ht="21.75" hidden="false" customHeight="true" outlineLevel="0" collapsed="false">
      <c r="A24" s="40" t="n">
        <v>21</v>
      </c>
      <c r="B24" s="41" t="s">
        <v>78</v>
      </c>
      <c r="C24" s="42" t="s">
        <v>62</v>
      </c>
      <c r="D24" s="41" t="s">
        <v>63</v>
      </c>
      <c r="E24" s="43"/>
      <c r="F24" s="43"/>
      <c r="G24" s="41"/>
      <c r="H24" s="41"/>
      <c r="I24" s="41"/>
      <c r="J24" s="41" t="s">
        <v>64</v>
      </c>
      <c r="K24" s="43"/>
      <c r="L24" s="41"/>
      <c r="M24" s="41"/>
      <c r="N24" s="43"/>
    </row>
    <row r="25" customFormat="false" ht="21.75" hidden="false" customHeight="true" outlineLevel="0" collapsed="false">
      <c r="A25" s="32" t="n">
        <v>22</v>
      </c>
      <c r="B25" s="33" t="s">
        <v>79</v>
      </c>
      <c r="C25" s="32" t="s">
        <v>50</v>
      </c>
      <c r="D25" s="33"/>
      <c r="E25" s="35"/>
      <c r="F25" s="35"/>
      <c r="G25" s="33"/>
      <c r="H25" s="33"/>
      <c r="I25" s="33"/>
      <c r="J25" s="33"/>
      <c r="K25" s="35"/>
      <c r="L25" s="33"/>
      <c r="M25" s="33"/>
      <c r="N25" s="35"/>
    </row>
    <row r="26" customFormat="false" ht="21.75" hidden="false" customHeight="true" outlineLevel="0" collapsed="false">
      <c r="A26" s="30" t="n">
        <v>23</v>
      </c>
      <c r="B26" s="17" t="s">
        <v>80</v>
      </c>
      <c r="C26" s="44" t="s">
        <v>52</v>
      </c>
      <c r="D26" s="17"/>
      <c r="E26" s="31"/>
      <c r="F26" s="31"/>
      <c r="G26" s="17"/>
      <c r="H26" s="17"/>
      <c r="I26" s="17"/>
      <c r="J26" s="17"/>
      <c r="K26" s="31"/>
      <c r="L26" s="17"/>
      <c r="M26" s="17"/>
      <c r="N26" s="31"/>
    </row>
    <row r="27" customFormat="false" ht="21.75" hidden="false" customHeight="true" outlineLevel="0" collapsed="false">
      <c r="A27" s="32" t="n">
        <v>24</v>
      </c>
      <c r="B27" s="33" t="s">
        <v>81</v>
      </c>
      <c r="C27" s="45" t="s">
        <v>54</v>
      </c>
      <c r="D27" s="33"/>
      <c r="E27" s="35"/>
      <c r="F27" s="35"/>
      <c r="G27" s="33"/>
      <c r="H27" s="33"/>
      <c r="I27" s="33"/>
      <c r="J27" s="33"/>
      <c r="K27" s="35"/>
      <c r="L27" s="33"/>
      <c r="M27" s="33"/>
      <c r="N27" s="35"/>
    </row>
    <row r="28" customFormat="false" ht="21.75" hidden="false" customHeight="true" outlineLevel="0" collapsed="false">
      <c r="A28" s="30" t="n">
        <v>25</v>
      </c>
      <c r="B28" s="17" t="s">
        <v>82</v>
      </c>
      <c r="C28" s="46" t="s">
        <v>56</v>
      </c>
      <c r="D28" s="17"/>
      <c r="E28" s="31"/>
      <c r="F28" s="31"/>
      <c r="G28" s="17"/>
      <c r="H28" s="17"/>
      <c r="I28" s="17"/>
      <c r="J28" s="17"/>
      <c r="K28" s="31"/>
      <c r="L28" s="17"/>
      <c r="M28" s="17"/>
      <c r="N28" s="31"/>
    </row>
    <row r="29" customFormat="false" ht="21.75" hidden="false" customHeight="true" outlineLevel="0" collapsed="false">
      <c r="A29" s="32" t="n">
        <v>26</v>
      </c>
      <c r="B29" s="33" t="s">
        <v>83</v>
      </c>
      <c r="C29" s="47" t="s">
        <v>58</v>
      </c>
      <c r="D29" s="33"/>
      <c r="E29" s="35"/>
      <c r="F29" s="35"/>
      <c r="G29" s="33"/>
      <c r="H29" s="33"/>
      <c r="I29" s="33"/>
      <c r="J29" s="33"/>
      <c r="K29" s="35"/>
      <c r="L29" s="33"/>
      <c r="M29" s="33"/>
      <c r="N29" s="35"/>
    </row>
    <row r="30" customFormat="false" ht="21.75" hidden="false" customHeight="true" outlineLevel="0" collapsed="false">
      <c r="A30" s="30" t="n">
        <v>27</v>
      </c>
      <c r="B30" s="17" t="s">
        <v>84</v>
      </c>
      <c r="C30" s="48" t="s">
        <v>60</v>
      </c>
      <c r="D30" s="17"/>
      <c r="E30" s="31"/>
      <c r="F30" s="31"/>
      <c r="G30" s="17"/>
      <c r="H30" s="17"/>
      <c r="I30" s="17"/>
      <c r="J30" s="17"/>
      <c r="K30" s="31"/>
      <c r="L30" s="17"/>
      <c r="M30" s="17"/>
      <c r="N30" s="31"/>
    </row>
    <row r="31" customFormat="false" ht="21.75" hidden="false" customHeight="true" outlineLevel="0" collapsed="false">
      <c r="A31" s="40" t="n">
        <v>28</v>
      </c>
      <c r="B31" s="41" t="s">
        <v>85</v>
      </c>
      <c r="C31" s="42" t="s">
        <v>62</v>
      </c>
      <c r="D31" s="41" t="s">
        <v>63</v>
      </c>
      <c r="E31" s="43"/>
      <c r="F31" s="43"/>
      <c r="G31" s="41"/>
      <c r="H31" s="41"/>
      <c r="I31" s="41"/>
      <c r="J31" s="41" t="s">
        <v>64</v>
      </c>
      <c r="K31" s="43"/>
      <c r="L31" s="41"/>
      <c r="M31" s="41"/>
      <c r="N31" s="43"/>
    </row>
    <row r="32" customFormat="false" ht="21.75" hidden="false" customHeight="true" outlineLevel="0" collapsed="false">
      <c r="A32" s="30" t="n">
        <v>29</v>
      </c>
      <c r="B32" s="17" t="s">
        <v>86</v>
      </c>
      <c r="C32" s="30" t="s">
        <v>50</v>
      </c>
      <c r="D32" s="17"/>
      <c r="E32" s="31"/>
      <c r="F32" s="31"/>
      <c r="G32" s="17"/>
      <c r="H32" s="17"/>
      <c r="I32" s="17"/>
      <c r="J32" s="17"/>
      <c r="K32" s="31"/>
      <c r="L32" s="17"/>
      <c r="M32" s="17"/>
      <c r="N32" s="31"/>
    </row>
    <row r="33" customFormat="false" ht="21.75" hidden="false" customHeight="true" outlineLevel="0" collapsed="false">
      <c r="A33" s="32" t="n">
        <v>30</v>
      </c>
      <c r="B33" s="33" t="s">
        <v>87</v>
      </c>
      <c r="C33" s="34" t="s">
        <v>52</v>
      </c>
      <c r="D33" s="33"/>
      <c r="E33" s="35"/>
      <c r="F33" s="35"/>
      <c r="G33" s="33"/>
      <c r="H33" s="33"/>
      <c r="I33" s="33"/>
      <c r="J33" s="33"/>
      <c r="K33" s="35"/>
      <c r="L33" s="33"/>
      <c r="M33" s="33"/>
      <c r="N33" s="35"/>
    </row>
  </sheetData>
  <mergeCells count="2">
    <mergeCell ref="A1:N1"/>
    <mergeCell ref="A2:N2"/>
  </mergeCells>
  <conditionalFormatting sqref="D4:D33">
    <cfRule type="cellIs" priority="2" operator="equal" aboveAverage="0" equalAverage="0" bottom="0" percent="0" rank="0" text="" dxfId="0">
      <formula>"✅ Done"</formula>
    </cfRule>
    <cfRule type="cellIs" priority="3" operator="equal" aboveAverage="0" equalAverage="0" bottom="0" percent="0" rank="0" text="" dxfId="1">
      <formula>"❌ Missed"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37.5" hidden="false" customHeight="true" outlineLevel="0" collapsed="false">
      <c r="A1" s="49" t="s">
        <v>88</v>
      </c>
      <c r="B1" s="49"/>
      <c r="C1" s="49"/>
      <c r="D1" s="49"/>
      <c r="E1" s="49"/>
      <c r="F1" s="49"/>
      <c r="G1" s="49"/>
      <c r="H1" s="49"/>
    </row>
    <row r="2" customFormat="false" ht="15" hidden="false" customHeight="true" outlineLevel="0" collapsed="false">
      <c r="A2" s="50" t="s">
        <v>89</v>
      </c>
      <c r="B2" s="50"/>
      <c r="C2" s="50"/>
      <c r="D2" s="50"/>
      <c r="E2" s="50"/>
      <c r="F2" s="50"/>
      <c r="G2" s="50"/>
      <c r="H2" s="50"/>
    </row>
    <row r="3" customFormat="false" ht="15" hidden="false" customHeight="false" outlineLevel="0" collapsed="false">
      <c r="A3" s="16" t="s">
        <v>90</v>
      </c>
      <c r="B3" s="16" t="s">
        <v>91</v>
      </c>
      <c r="C3" s="16" t="s">
        <v>92</v>
      </c>
      <c r="D3" s="16" t="s">
        <v>93</v>
      </c>
      <c r="E3" s="16" t="s">
        <v>94</v>
      </c>
      <c r="F3" s="16" t="s">
        <v>95</v>
      </c>
      <c r="G3" s="16" t="s">
        <v>96</v>
      </c>
      <c r="H3" s="16" t="s">
        <v>97</v>
      </c>
    </row>
    <row r="4" customFormat="false" ht="19.5" hidden="false" customHeight="true" outlineLevel="0" collapsed="false">
      <c r="A4" s="30" t="s">
        <v>98</v>
      </c>
      <c r="B4" s="31" t="s">
        <v>99</v>
      </c>
      <c r="C4" s="17" t="s">
        <v>100</v>
      </c>
      <c r="D4" s="17" t="s">
        <v>101</v>
      </c>
      <c r="E4" s="17" t="s">
        <v>102</v>
      </c>
      <c r="F4" s="17" t="s">
        <v>103</v>
      </c>
      <c r="G4" s="17" t="s">
        <v>104</v>
      </c>
      <c r="H4" s="17" t="s">
        <v>105</v>
      </c>
    </row>
    <row r="5" customFormat="false" ht="19.5" hidden="false" customHeight="true" outlineLevel="0" collapsed="false">
      <c r="A5" s="51" t="s">
        <v>98</v>
      </c>
      <c r="B5" s="52" t="s">
        <v>106</v>
      </c>
      <c r="C5" s="18" t="s">
        <v>107</v>
      </c>
      <c r="D5" s="18" t="s">
        <v>108</v>
      </c>
      <c r="E5" s="18" t="s">
        <v>109</v>
      </c>
      <c r="F5" s="18" t="s">
        <v>110</v>
      </c>
      <c r="G5" s="18" t="s">
        <v>104</v>
      </c>
      <c r="H5" s="18" t="s">
        <v>111</v>
      </c>
    </row>
    <row r="6" customFormat="false" ht="19.5" hidden="false" customHeight="true" outlineLevel="0" collapsed="false">
      <c r="A6" s="30" t="s">
        <v>98</v>
      </c>
      <c r="B6" s="31" t="s">
        <v>112</v>
      </c>
      <c r="C6" s="17" t="s">
        <v>107</v>
      </c>
      <c r="D6" s="17" t="s">
        <v>113</v>
      </c>
      <c r="E6" s="17" t="s">
        <v>114</v>
      </c>
      <c r="F6" s="17" t="s">
        <v>115</v>
      </c>
      <c r="G6" s="17" t="s">
        <v>116</v>
      </c>
      <c r="H6" s="17" t="s">
        <v>117</v>
      </c>
    </row>
    <row r="7" customFormat="false" ht="19.5" hidden="false" customHeight="true" outlineLevel="0" collapsed="false">
      <c r="A7" s="51" t="s">
        <v>98</v>
      </c>
      <c r="B7" s="52" t="s">
        <v>118</v>
      </c>
      <c r="C7" s="18" t="s">
        <v>100</v>
      </c>
      <c r="D7" s="18" t="s">
        <v>119</v>
      </c>
      <c r="E7" s="18" t="s">
        <v>114</v>
      </c>
      <c r="F7" s="18" t="s">
        <v>120</v>
      </c>
      <c r="G7" s="18" t="s">
        <v>104</v>
      </c>
      <c r="H7" s="18" t="s">
        <v>121</v>
      </c>
    </row>
    <row r="8" customFormat="false" ht="19.5" hidden="false" customHeight="true" outlineLevel="0" collapsed="false">
      <c r="A8" s="30" t="s">
        <v>98</v>
      </c>
      <c r="B8" s="31" t="s">
        <v>122</v>
      </c>
      <c r="C8" s="17" t="s">
        <v>107</v>
      </c>
      <c r="D8" s="17" t="s">
        <v>113</v>
      </c>
      <c r="E8" s="17" t="s">
        <v>114</v>
      </c>
      <c r="F8" s="17" t="s">
        <v>123</v>
      </c>
      <c r="G8" s="17" t="s">
        <v>104</v>
      </c>
      <c r="H8" s="17" t="s">
        <v>124</v>
      </c>
    </row>
    <row r="9" customFormat="false" ht="19.5" hidden="false" customHeight="true" outlineLevel="0" collapsed="false">
      <c r="A9" s="51" t="s">
        <v>98</v>
      </c>
      <c r="B9" s="52" t="s">
        <v>125</v>
      </c>
      <c r="C9" s="18" t="s">
        <v>107</v>
      </c>
      <c r="D9" s="18" t="s">
        <v>126</v>
      </c>
      <c r="E9" s="18" t="s">
        <v>114</v>
      </c>
      <c r="F9" s="18" t="s">
        <v>127</v>
      </c>
      <c r="G9" s="18" t="s">
        <v>104</v>
      </c>
      <c r="H9" s="18" t="s">
        <v>128</v>
      </c>
    </row>
    <row r="10" customFormat="false" ht="19.5" hidden="false" customHeight="true" outlineLevel="0" collapsed="false">
      <c r="A10" s="44" t="s">
        <v>129</v>
      </c>
      <c r="B10" s="31" t="s">
        <v>130</v>
      </c>
      <c r="C10" s="17" t="s">
        <v>100</v>
      </c>
      <c r="D10" s="17" t="s">
        <v>131</v>
      </c>
      <c r="E10" s="17" t="s">
        <v>102</v>
      </c>
      <c r="F10" s="17" t="s">
        <v>132</v>
      </c>
      <c r="G10" s="17" t="s">
        <v>104</v>
      </c>
      <c r="H10" s="17" t="s">
        <v>133</v>
      </c>
    </row>
    <row r="11" customFormat="false" ht="19.5" hidden="false" customHeight="true" outlineLevel="0" collapsed="false">
      <c r="A11" s="53" t="s">
        <v>129</v>
      </c>
      <c r="B11" s="52" t="s">
        <v>134</v>
      </c>
      <c r="C11" s="18" t="s">
        <v>107</v>
      </c>
      <c r="D11" s="18" t="s">
        <v>108</v>
      </c>
      <c r="E11" s="18" t="s">
        <v>109</v>
      </c>
      <c r="F11" s="18" t="s">
        <v>135</v>
      </c>
      <c r="G11" s="18" t="s">
        <v>136</v>
      </c>
      <c r="H11" s="18" t="s">
        <v>137</v>
      </c>
    </row>
    <row r="12" customFormat="false" ht="19.5" hidden="false" customHeight="true" outlineLevel="0" collapsed="false">
      <c r="A12" s="44" t="s">
        <v>129</v>
      </c>
      <c r="B12" s="31" t="s">
        <v>138</v>
      </c>
      <c r="C12" s="17" t="s">
        <v>107</v>
      </c>
      <c r="D12" s="17" t="s">
        <v>139</v>
      </c>
      <c r="E12" s="17" t="s">
        <v>114</v>
      </c>
      <c r="F12" s="17" t="s">
        <v>140</v>
      </c>
      <c r="G12" s="17" t="s">
        <v>104</v>
      </c>
      <c r="H12" s="17" t="s">
        <v>141</v>
      </c>
    </row>
    <row r="13" customFormat="false" ht="19.5" hidden="false" customHeight="true" outlineLevel="0" collapsed="false">
      <c r="A13" s="53" t="s">
        <v>129</v>
      </c>
      <c r="B13" s="52" t="s">
        <v>142</v>
      </c>
      <c r="C13" s="18" t="s">
        <v>100</v>
      </c>
      <c r="D13" s="18" t="s">
        <v>126</v>
      </c>
      <c r="E13" s="18" t="s">
        <v>114</v>
      </c>
      <c r="F13" s="18" t="s">
        <v>143</v>
      </c>
      <c r="G13" s="18" t="s">
        <v>104</v>
      </c>
      <c r="H13" s="18" t="s">
        <v>144</v>
      </c>
    </row>
    <row r="14" customFormat="false" ht="19.5" hidden="false" customHeight="true" outlineLevel="0" collapsed="false">
      <c r="A14" s="44" t="s">
        <v>129</v>
      </c>
      <c r="B14" s="31" t="s">
        <v>145</v>
      </c>
      <c r="C14" s="17" t="s">
        <v>100</v>
      </c>
      <c r="D14" s="17" t="s">
        <v>108</v>
      </c>
      <c r="E14" s="17" t="s">
        <v>114</v>
      </c>
      <c r="F14" s="17" t="s">
        <v>30</v>
      </c>
      <c r="G14" s="17" t="s">
        <v>104</v>
      </c>
      <c r="H14" s="17" t="s">
        <v>146</v>
      </c>
    </row>
    <row r="15" customFormat="false" ht="19.5" hidden="false" customHeight="true" outlineLevel="0" collapsed="false">
      <c r="A15" s="54" t="s">
        <v>147</v>
      </c>
      <c r="B15" s="52" t="s">
        <v>148</v>
      </c>
      <c r="C15" s="18" t="s">
        <v>100</v>
      </c>
      <c r="D15" s="18" t="s">
        <v>101</v>
      </c>
      <c r="E15" s="18" t="s">
        <v>102</v>
      </c>
      <c r="F15" s="18" t="s">
        <v>149</v>
      </c>
      <c r="G15" s="18" t="s">
        <v>104</v>
      </c>
      <c r="H15" s="18" t="s">
        <v>150</v>
      </c>
    </row>
    <row r="16" customFormat="false" ht="19.5" hidden="false" customHeight="true" outlineLevel="0" collapsed="false">
      <c r="A16" s="36" t="s">
        <v>147</v>
      </c>
      <c r="B16" s="31" t="s">
        <v>151</v>
      </c>
      <c r="C16" s="17" t="s">
        <v>100</v>
      </c>
      <c r="D16" s="17" t="s">
        <v>108</v>
      </c>
      <c r="E16" s="17" t="s">
        <v>109</v>
      </c>
      <c r="F16" s="17" t="s">
        <v>152</v>
      </c>
      <c r="G16" s="17" t="s">
        <v>104</v>
      </c>
      <c r="H16" s="17" t="s">
        <v>153</v>
      </c>
    </row>
    <row r="17" customFormat="false" ht="19.5" hidden="false" customHeight="true" outlineLevel="0" collapsed="false">
      <c r="A17" s="54" t="s">
        <v>147</v>
      </c>
      <c r="B17" s="52" t="s">
        <v>154</v>
      </c>
      <c r="C17" s="18" t="s">
        <v>107</v>
      </c>
      <c r="D17" s="18" t="s">
        <v>119</v>
      </c>
      <c r="E17" s="18" t="s">
        <v>114</v>
      </c>
      <c r="F17" s="18" t="s">
        <v>155</v>
      </c>
      <c r="G17" s="18" t="s">
        <v>104</v>
      </c>
      <c r="H17" s="18" t="s">
        <v>156</v>
      </c>
    </row>
    <row r="18" customFormat="false" ht="19.5" hidden="false" customHeight="true" outlineLevel="0" collapsed="false">
      <c r="A18" s="36" t="s">
        <v>147</v>
      </c>
      <c r="B18" s="31" t="s">
        <v>157</v>
      </c>
      <c r="C18" s="17" t="s">
        <v>107</v>
      </c>
      <c r="D18" s="17" t="s">
        <v>158</v>
      </c>
      <c r="E18" s="17" t="s">
        <v>114</v>
      </c>
      <c r="F18" s="17" t="s">
        <v>149</v>
      </c>
      <c r="G18" s="17" t="s">
        <v>104</v>
      </c>
      <c r="H18" s="17" t="s">
        <v>159</v>
      </c>
    </row>
    <row r="19" customFormat="false" ht="19.5" hidden="false" customHeight="true" outlineLevel="0" collapsed="false">
      <c r="A19" s="54" t="s">
        <v>147</v>
      </c>
      <c r="B19" s="52" t="s">
        <v>160</v>
      </c>
      <c r="C19" s="18" t="s">
        <v>107</v>
      </c>
      <c r="D19" s="18" t="s">
        <v>114</v>
      </c>
      <c r="E19" s="18" t="s">
        <v>114</v>
      </c>
      <c r="F19" s="18" t="s">
        <v>32</v>
      </c>
      <c r="G19" s="18" t="s">
        <v>104</v>
      </c>
      <c r="H19" s="18" t="s">
        <v>161</v>
      </c>
    </row>
    <row r="20" customFormat="false" ht="19.5" hidden="false" customHeight="true" outlineLevel="0" collapsed="false">
      <c r="A20" s="36" t="s">
        <v>147</v>
      </c>
      <c r="B20" s="31" t="s">
        <v>162</v>
      </c>
      <c r="C20" s="17" t="s">
        <v>100</v>
      </c>
      <c r="D20" s="17" t="s">
        <v>163</v>
      </c>
      <c r="E20" s="17" t="s">
        <v>164</v>
      </c>
      <c r="F20" s="17" t="s">
        <v>165</v>
      </c>
      <c r="G20" s="17" t="s">
        <v>104</v>
      </c>
      <c r="H20" s="17" t="s">
        <v>166</v>
      </c>
    </row>
    <row r="21" customFormat="false" ht="19.5" hidden="false" customHeight="true" outlineLevel="0" collapsed="false">
      <c r="A21" s="55" t="s">
        <v>167</v>
      </c>
      <c r="B21" s="52" t="s">
        <v>168</v>
      </c>
      <c r="C21" s="18" t="s">
        <v>100</v>
      </c>
      <c r="D21" s="18" t="s">
        <v>101</v>
      </c>
      <c r="E21" s="18" t="s">
        <v>102</v>
      </c>
      <c r="F21" s="18" t="s">
        <v>169</v>
      </c>
      <c r="G21" s="18" t="s">
        <v>104</v>
      </c>
      <c r="H21" s="18" t="s">
        <v>170</v>
      </c>
    </row>
    <row r="22" customFormat="false" ht="19.5" hidden="false" customHeight="true" outlineLevel="0" collapsed="false">
      <c r="A22" s="46" t="s">
        <v>167</v>
      </c>
      <c r="B22" s="31" t="s">
        <v>171</v>
      </c>
      <c r="C22" s="17" t="s">
        <v>107</v>
      </c>
      <c r="D22" s="17" t="s">
        <v>108</v>
      </c>
      <c r="E22" s="17" t="s">
        <v>109</v>
      </c>
      <c r="F22" s="17" t="s">
        <v>172</v>
      </c>
      <c r="G22" s="17" t="s">
        <v>104</v>
      </c>
      <c r="H22" s="17" t="s">
        <v>173</v>
      </c>
    </row>
    <row r="23" customFormat="false" ht="19.5" hidden="false" customHeight="true" outlineLevel="0" collapsed="false">
      <c r="A23" s="55" t="s">
        <v>167</v>
      </c>
      <c r="B23" s="52" t="s">
        <v>174</v>
      </c>
      <c r="C23" s="18" t="s">
        <v>107</v>
      </c>
      <c r="D23" s="18" t="s">
        <v>101</v>
      </c>
      <c r="E23" s="18" t="s">
        <v>109</v>
      </c>
      <c r="F23" s="18" t="s">
        <v>175</v>
      </c>
      <c r="G23" s="18" t="s">
        <v>104</v>
      </c>
      <c r="H23" s="18" t="s">
        <v>176</v>
      </c>
    </row>
    <row r="24" customFormat="false" ht="19.5" hidden="false" customHeight="true" outlineLevel="0" collapsed="false">
      <c r="A24" s="46" t="s">
        <v>167</v>
      </c>
      <c r="B24" s="31" t="s">
        <v>177</v>
      </c>
      <c r="C24" s="17" t="s">
        <v>107</v>
      </c>
      <c r="D24" s="17" t="s">
        <v>108</v>
      </c>
      <c r="E24" s="17" t="s">
        <v>114</v>
      </c>
      <c r="F24" s="17" t="s">
        <v>178</v>
      </c>
      <c r="G24" s="17" t="s">
        <v>104</v>
      </c>
      <c r="H24" s="17" t="s">
        <v>179</v>
      </c>
    </row>
    <row r="25" customFormat="false" ht="19.5" hidden="false" customHeight="true" outlineLevel="0" collapsed="false">
      <c r="A25" s="55" t="s">
        <v>167</v>
      </c>
      <c r="B25" s="52" t="s">
        <v>180</v>
      </c>
      <c r="C25" s="18" t="s">
        <v>107</v>
      </c>
      <c r="D25" s="18" t="s">
        <v>181</v>
      </c>
      <c r="E25" s="18" t="s">
        <v>114</v>
      </c>
      <c r="F25" s="18" t="s">
        <v>182</v>
      </c>
      <c r="G25" s="18" t="s">
        <v>104</v>
      </c>
      <c r="H25" s="18" t="s">
        <v>183</v>
      </c>
    </row>
    <row r="26" customFormat="false" ht="19.5" hidden="false" customHeight="true" outlineLevel="0" collapsed="false">
      <c r="A26" s="38" t="s">
        <v>184</v>
      </c>
      <c r="B26" s="31" t="s">
        <v>185</v>
      </c>
      <c r="C26" s="17" t="s">
        <v>107</v>
      </c>
      <c r="D26" s="17" t="s">
        <v>186</v>
      </c>
      <c r="E26" s="17" t="s">
        <v>187</v>
      </c>
      <c r="F26" s="17" t="s">
        <v>188</v>
      </c>
      <c r="G26" s="17" t="s">
        <v>104</v>
      </c>
      <c r="H26" s="17" t="s">
        <v>189</v>
      </c>
    </row>
    <row r="27" customFormat="false" ht="19.5" hidden="false" customHeight="true" outlineLevel="0" collapsed="false">
      <c r="A27" s="56" t="s">
        <v>184</v>
      </c>
      <c r="B27" s="52" t="s">
        <v>190</v>
      </c>
      <c r="C27" s="18" t="s">
        <v>100</v>
      </c>
      <c r="D27" s="18" t="s">
        <v>108</v>
      </c>
      <c r="E27" s="18" t="s">
        <v>109</v>
      </c>
      <c r="F27" s="18" t="s">
        <v>140</v>
      </c>
      <c r="G27" s="18" t="s">
        <v>104</v>
      </c>
      <c r="H27" s="18" t="s">
        <v>191</v>
      </c>
    </row>
    <row r="28" customFormat="false" ht="19.5" hidden="false" customHeight="true" outlineLevel="0" collapsed="false">
      <c r="A28" s="38" t="s">
        <v>184</v>
      </c>
      <c r="B28" s="31" t="s">
        <v>192</v>
      </c>
      <c r="C28" s="17" t="s">
        <v>107</v>
      </c>
      <c r="D28" s="17" t="s">
        <v>181</v>
      </c>
      <c r="E28" s="17" t="s">
        <v>114</v>
      </c>
      <c r="F28" s="17" t="s">
        <v>193</v>
      </c>
      <c r="G28" s="17" t="s">
        <v>104</v>
      </c>
      <c r="H28" s="17" t="s">
        <v>194</v>
      </c>
    </row>
    <row r="29" customFormat="false" ht="19.5" hidden="false" customHeight="true" outlineLevel="0" collapsed="false">
      <c r="A29" s="56" t="s">
        <v>184</v>
      </c>
      <c r="B29" s="52" t="s">
        <v>195</v>
      </c>
      <c r="C29" s="18" t="s">
        <v>100</v>
      </c>
      <c r="D29" s="18" t="s">
        <v>119</v>
      </c>
      <c r="E29" s="18" t="s">
        <v>114</v>
      </c>
      <c r="F29" s="18" t="s">
        <v>196</v>
      </c>
      <c r="G29" s="18" t="s">
        <v>104</v>
      </c>
      <c r="H29" s="18" t="s">
        <v>197</v>
      </c>
    </row>
    <row r="30" customFormat="false" ht="19.5" hidden="false" customHeight="true" outlineLevel="0" collapsed="false">
      <c r="A30" s="38" t="s">
        <v>184</v>
      </c>
      <c r="B30" s="31" t="s">
        <v>198</v>
      </c>
      <c r="C30" s="17" t="s">
        <v>100</v>
      </c>
      <c r="D30" s="17" t="s">
        <v>181</v>
      </c>
      <c r="E30" s="17" t="s">
        <v>114</v>
      </c>
      <c r="F30" s="17" t="s">
        <v>199</v>
      </c>
      <c r="G30" s="17" t="s">
        <v>104</v>
      </c>
      <c r="H30" s="17" t="s">
        <v>200</v>
      </c>
    </row>
    <row r="31" customFormat="false" ht="19.5" hidden="false" customHeight="true" outlineLevel="0" collapsed="false">
      <c r="A31" s="56" t="s">
        <v>184</v>
      </c>
      <c r="B31" s="52" t="s">
        <v>201</v>
      </c>
      <c r="C31" s="18" t="s">
        <v>100</v>
      </c>
      <c r="D31" s="18" t="s">
        <v>119</v>
      </c>
      <c r="E31" s="18" t="s">
        <v>114</v>
      </c>
      <c r="F31" s="18" t="s">
        <v>202</v>
      </c>
      <c r="G31" s="18" t="s">
        <v>104</v>
      </c>
      <c r="H31" s="18" t="s">
        <v>203</v>
      </c>
    </row>
    <row r="32" customFormat="false" ht="19.5" hidden="false" customHeight="true" outlineLevel="0" collapsed="false">
      <c r="A32" s="48" t="s">
        <v>204</v>
      </c>
      <c r="B32" s="31" t="s">
        <v>205</v>
      </c>
      <c r="C32" s="17" t="s">
        <v>100</v>
      </c>
      <c r="D32" s="17" t="s">
        <v>108</v>
      </c>
      <c r="E32" s="17" t="s">
        <v>102</v>
      </c>
      <c r="F32" s="17" t="s">
        <v>206</v>
      </c>
      <c r="G32" s="17" t="s">
        <v>104</v>
      </c>
      <c r="H32" s="17" t="s">
        <v>207</v>
      </c>
    </row>
    <row r="33" customFormat="false" ht="19.5" hidden="false" customHeight="true" outlineLevel="0" collapsed="false">
      <c r="A33" s="57" t="s">
        <v>204</v>
      </c>
      <c r="B33" s="52" t="s">
        <v>208</v>
      </c>
      <c r="C33" s="18" t="s">
        <v>107</v>
      </c>
      <c r="D33" s="18" t="s">
        <v>209</v>
      </c>
      <c r="E33" s="18" t="s">
        <v>109</v>
      </c>
      <c r="F33" s="18" t="s">
        <v>210</v>
      </c>
      <c r="G33" s="18" t="s">
        <v>104</v>
      </c>
      <c r="H33" s="18" t="s">
        <v>211</v>
      </c>
    </row>
    <row r="34" customFormat="false" ht="19.5" hidden="false" customHeight="true" outlineLevel="0" collapsed="false">
      <c r="A34" s="48" t="s">
        <v>204</v>
      </c>
      <c r="B34" s="31" t="s">
        <v>212</v>
      </c>
      <c r="C34" s="17" t="s">
        <v>100</v>
      </c>
      <c r="D34" s="17" t="s">
        <v>113</v>
      </c>
      <c r="E34" s="17" t="s">
        <v>114</v>
      </c>
      <c r="F34" s="17" t="s">
        <v>213</v>
      </c>
      <c r="G34" s="17" t="s">
        <v>104</v>
      </c>
      <c r="H34" s="17" t="s">
        <v>214</v>
      </c>
    </row>
    <row r="35" customFormat="false" ht="19.5" hidden="false" customHeight="true" outlineLevel="0" collapsed="false">
      <c r="A35" s="57" t="s">
        <v>204</v>
      </c>
      <c r="B35" s="52" t="s">
        <v>215</v>
      </c>
      <c r="C35" s="18" t="s">
        <v>107</v>
      </c>
      <c r="D35" s="18" t="s">
        <v>119</v>
      </c>
      <c r="E35" s="18" t="s">
        <v>114</v>
      </c>
      <c r="F35" s="18" t="s">
        <v>216</v>
      </c>
      <c r="G35" s="18" t="s">
        <v>104</v>
      </c>
      <c r="H35" s="18" t="s">
        <v>217</v>
      </c>
    </row>
    <row r="36" customFormat="false" ht="19.5" hidden="false" customHeight="true" outlineLevel="0" collapsed="false">
      <c r="A36" s="48" t="s">
        <v>204</v>
      </c>
      <c r="B36" s="31" t="s">
        <v>218</v>
      </c>
      <c r="C36" s="17" t="s">
        <v>107</v>
      </c>
      <c r="D36" s="17" t="s">
        <v>163</v>
      </c>
      <c r="E36" s="17" t="s">
        <v>114</v>
      </c>
      <c r="F36" s="17" t="s">
        <v>219</v>
      </c>
      <c r="G36" s="17" t="s">
        <v>104</v>
      </c>
      <c r="H36" s="17" t="s">
        <v>220</v>
      </c>
    </row>
    <row r="37" customFormat="false" ht="19.5" hidden="false" customHeight="true" outlineLevel="0" collapsed="false">
      <c r="A37" s="57" t="s">
        <v>204</v>
      </c>
      <c r="B37" s="52" t="s">
        <v>221</v>
      </c>
      <c r="C37" s="18" t="s">
        <v>186</v>
      </c>
      <c r="D37" s="18" t="s">
        <v>222</v>
      </c>
      <c r="E37" s="18" t="s">
        <v>223</v>
      </c>
      <c r="F37" s="18" t="s">
        <v>224</v>
      </c>
      <c r="G37" s="18" t="s">
        <v>104</v>
      </c>
      <c r="H37" s="18" t="s">
        <v>225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58" t="s">
        <v>226</v>
      </c>
      <c r="B1" s="58"/>
      <c r="C1" s="58"/>
      <c r="D1" s="58"/>
      <c r="E1" s="58"/>
      <c r="F1" s="58"/>
      <c r="G1" s="58"/>
      <c r="H1" s="58"/>
    </row>
    <row r="2" customFormat="false" ht="15" hidden="false" customHeight="true" outlineLevel="0" collapsed="false">
      <c r="A2" s="59" t="s">
        <v>227</v>
      </c>
      <c r="B2" s="59"/>
      <c r="C2" s="59"/>
      <c r="D2" s="59"/>
      <c r="E2" s="59"/>
      <c r="F2" s="59"/>
      <c r="G2" s="59"/>
      <c r="H2" s="59"/>
    </row>
    <row r="3" customFormat="false" ht="15" hidden="false" customHeight="false" outlineLevel="0" collapsed="false">
      <c r="A3" s="60" t="s">
        <v>91</v>
      </c>
      <c r="B3" s="60" t="s">
        <v>228</v>
      </c>
      <c r="C3" s="60" t="s">
        <v>229</v>
      </c>
      <c r="D3" s="60" t="s">
        <v>230</v>
      </c>
      <c r="E3" s="60" t="s">
        <v>231</v>
      </c>
      <c r="F3" s="60" t="s">
        <v>232</v>
      </c>
      <c r="G3" s="60" t="s">
        <v>233</v>
      </c>
      <c r="H3" s="60" t="s">
        <v>234</v>
      </c>
    </row>
    <row r="4" customFormat="false" ht="21.75" hidden="false" customHeight="true" outlineLevel="0" collapsed="false">
      <c r="A4" s="23" t="s">
        <v>99</v>
      </c>
      <c r="B4" s="61"/>
      <c r="C4" s="61"/>
      <c r="D4" s="61"/>
      <c r="E4" s="36" t="n">
        <f aca="false">IFERROR(B4-D4,"-")</f>
        <v>0</v>
      </c>
      <c r="F4" s="62"/>
      <c r="G4" s="38" t="str">
        <f aca="false">IF(B4="","Not Set Yet",IF(B4&gt;=H4,"🏆 GOAL HIT!",IF(B4&gt;=H4*0.9,"🔥 90% There!",IF(B4&gt;=H4*0.75,"⚡ 75% Done","📈 Keep Going"))))</f>
        <v>Not Set Yet</v>
      </c>
      <c r="H4" s="63" t="n">
        <v>100</v>
      </c>
    </row>
    <row r="5" customFormat="false" ht="21.75" hidden="false" customHeight="true" outlineLevel="0" collapsed="false">
      <c r="A5" s="19" t="s">
        <v>235</v>
      </c>
      <c r="B5" s="61"/>
      <c r="C5" s="61"/>
      <c r="D5" s="61"/>
      <c r="E5" s="54" t="n">
        <f aca="false">IFERROR(B5-D5,"-")</f>
        <v>0</v>
      </c>
      <c r="F5" s="64"/>
      <c r="G5" s="56" t="str">
        <f aca="false">IF(B5="","Not Set Yet",IF(B5&gt;=H5,"🏆 GOAL HIT!",IF(B5&gt;=H5*0.9,"🔥 90% There!",IF(B5&gt;=H5*0.75,"⚡ 75% Done","📈 Keep Going"))))</f>
        <v>Not Set Yet</v>
      </c>
      <c r="H5" s="63" t="n">
        <v>80</v>
      </c>
    </row>
    <row r="6" customFormat="false" ht="21.75" hidden="false" customHeight="true" outlineLevel="0" collapsed="false">
      <c r="A6" s="23" t="s">
        <v>236</v>
      </c>
      <c r="B6" s="61"/>
      <c r="C6" s="61"/>
      <c r="D6" s="61"/>
      <c r="E6" s="36" t="n">
        <f aca="false">IFERROR(B6-D6,"-")</f>
        <v>0</v>
      </c>
      <c r="F6" s="62"/>
      <c r="G6" s="38" t="str">
        <f aca="false">IF(B6="","Not Set Yet",IF(B6&gt;=H6,"🏆 GOAL HIT!",IF(B6&gt;=H6*0.9,"🔥 90% There!",IF(B6&gt;=H6*0.75,"⚡ 75% Done","📈 Keep Going"))))</f>
        <v>Not Set Yet</v>
      </c>
      <c r="H6" s="63" t="n">
        <v>140</v>
      </c>
    </row>
    <row r="7" customFormat="false" ht="21.75" hidden="false" customHeight="true" outlineLevel="0" collapsed="false">
      <c r="A7" s="19" t="s">
        <v>148</v>
      </c>
      <c r="B7" s="61"/>
      <c r="C7" s="61"/>
      <c r="D7" s="61"/>
      <c r="E7" s="54" t="n">
        <f aca="false">IFERROR(B7-D7,"-")</f>
        <v>0</v>
      </c>
      <c r="F7" s="64"/>
      <c r="G7" s="56" t="str">
        <f aca="false">IF(B7="","Not Set Yet",IF(B7&gt;=H7,"🏆 GOAL HIT!",IF(B7&gt;=H7*0.9,"🔥 90% There!",IF(B7&gt;=H7*0.75,"⚡ 75% Done","📈 Keep Going"))))</f>
        <v>Not Set Yet</v>
      </c>
      <c r="H7" s="63" t="n">
        <v>120</v>
      </c>
    </row>
    <row r="8" customFormat="false" ht="21.75" hidden="false" customHeight="true" outlineLevel="0" collapsed="false">
      <c r="A8" s="23" t="s">
        <v>237</v>
      </c>
      <c r="B8" s="61"/>
      <c r="C8" s="61"/>
      <c r="D8" s="61"/>
      <c r="E8" s="36" t="n">
        <f aca="false">IFERROR(B8-D8,"-")</f>
        <v>0</v>
      </c>
      <c r="F8" s="62"/>
      <c r="G8" s="38" t="str">
        <f aca="false">IF(B8="","Not Set Yet",IF(B8&gt;=H8,"🏆 GOAL HIT!",IF(B8&gt;=H8*0.9,"🔥 90% There!",IF(B8&gt;=H8*0.75,"⚡ 75% Done","📈 Keep Going"))))</f>
        <v>Not Set Yet</v>
      </c>
      <c r="H8" s="63" t="n">
        <v>20</v>
      </c>
    </row>
    <row r="9" customFormat="false" ht="21.75" hidden="false" customHeight="true" outlineLevel="0" collapsed="false">
      <c r="A9" s="19" t="s">
        <v>238</v>
      </c>
      <c r="B9" s="61"/>
      <c r="C9" s="61"/>
      <c r="D9" s="61"/>
      <c r="E9" s="54" t="n">
        <f aca="false">IFERROR(B9-D9,"-")</f>
        <v>0</v>
      </c>
      <c r="F9" s="64"/>
      <c r="G9" s="56" t="str">
        <f aca="false">IF(B9="","Not Set Yet",IF(B9&gt;=H9,"🏆 GOAL HIT!",IF(B9&gt;=H9*0.9,"🔥 90% There!",IF(B9&gt;=H9*0.75,"⚡ 75% Done","📈 Keep Going"))))</f>
        <v>Not Set Yet</v>
      </c>
      <c r="H9" s="63" t="n">
        <v>80</v>
      </c>
    </row>
    <row r="10" customFormat="false" ht="21.75" hidden="false" customHeight="true" outlineLevel="0" collapsed="false">
      <c r="A10" s="23" t="s">
        <v>239</v>
      </c>
      <c r="B10" s="61"/>
      <c r="C10" s="61"/>
      <c r="D10" s="61"/>
      <c r="E10" s="36" t="n">
        <f aca="false">IFERROR(B10-D10,"-")</f>
        <v>0</v>
      </c>
      <c r="F10" s="62"/>
      <c r="G10" s="38" t="str">
        <f aca="false">IF(B10="","Not Set Yet",IF(B10&gt;=H10,"🏆 GOAL HIT!",IF(B10&gt;=H10*0.9,"🔥 90% There!",IF(B10&gt;=H10*0.75,"⚡ 75% Done","📈 Keep Going"))))</f>
        <v>Not Set Yet</v>
      </c>
      <c r="H10" s="63" t="n">
        <v>80</v>
      </c>
    </row>
    <row r="11" customFormat="false" ht="21.75" hidden="false" customHeight="true" outlineLevel="0" collapsed="false">
      <c r="A11" s="19" t="s">
        <v>145</v>
      </c>
      <c r="B11" s="61"/>
      <c r="C11" s="61"/>
      <c r="D11" s="61"/>
      <c r="E11" s="54" t="n">
        <f aca="false">IFERROR(B11-D11,"-")</f>
        <v>0</v>
      </c>
      <c r="F11" s="64"/>
      <c r="G11" s="56" t="str">
        <f aca="false">IF(B11="","Not Set Yet",IF(B11&gt;=H11,"🏆 GOAL HIT!",IF(B11&gt;=H11*0.9,"🔥 90% There!",IF(B11&gt;=H11*0.75,"⚡ 75% Done","📈 Keep Going"))))</f>
        <v>Not Set Yet</v>
      </c>
      <c r="H11" s="63" t="n">
        <v>25</v>
      </c>
    </row>
    <row r="12" customFormat="false" ht="21.75" hidden="false" customHeight="true" outlineLevel="0" collapsed="false">
      <c r="A12" s="23" t="s">
        <v>240</v>
      </c>
      <c r="B12" s="61"/>
      <c r="C12" s="61"/>
      <c r="D12" s="61"/>
      <c r="E12" s="36" t="n">
        <f aca="false">IFERROR(B12-D12,"-")</f>
        <v>0</v>
      </c>
      <c r="F12" s="62"/>
      <c r="G12" s="38" t="str">
        <f aca="false">IF(B12="","Not Set Yet",IF(B12&gt;=H12,"🏆 GOAL HIT!",IF(B12&gt;=H12*0.9,"🔥 90% There!",IF(B12&gt;=H12*0.75,"⚡ 75% Done","📈 Keep Going"))))</f>
        <v>Not Set Yet</v>
      </c>
      <c r="H12" s="63" t="n">
        <v>90</v>
      </c>
    </row>
    <row r="13" customFormat="false" ht="21.75" hidden="false" customHeight="true" outlineLevel="0" collapsed="false">
      <c r="A13" s="19" t="s">
        <v>190</v>
      </c>
      <c r="B13" s="61"/>
      <c r="C13" s="61"/>
      <c r="D13" s="61"/>
      <c r="E13" s="54" t="n">
        <f aca="false">IFERROR(B13-D13,"-")</f>
        <v>0</v>
      </c>
      <c r="F13" s="64"/>
      <c r="G13" s="56" t="str">
        <f aca="false">IF(B13="","Not Set Yet",IF(B13&gt;=H13,"🏆 GOAL HIT!",IF(B13&gt;=H13*0.9,"🔥 90% There!",IF(B13&gt;=H13*0.75,"⚡ 75% Done","📈 Keep Going"))))</f>
        <v>Not Set Yet</v>
      </c>
      <c r="H13" s="63" t="n">
        <v>80</v>
      </c>
    </row>
    <row r="14" customFormat="false" ht="21.75" hidden="false" customHeight="true" outlineLevel="0" collapsed="false">
      <c r="A14" s="23" t="s">
        <v>241</v>
      </c>
      <c r="B14" s="61"/>
      <c r="C14" s="61"/>
      <c r="D14" s="61"/>
      <c r="E14" s="36" t="n">
        <f aca="false">IFERROR(B14-D14,"-")</f>
        <v>0</v>
      </c>
      <c r="F14" s="62"/>
      <c r="G14" s="38" t="str">
        <f aca="false">IF(B14="","Not Set Yet",IF(B14&gt;=H14,"🏆 GOAL HIT!",IF(B14&gt;=H14*0.9,"🔥 90% There!",IF(B14&gt;=H14*0.75,"⚡ 75% Done","📈 Keep Going"))))</f>
        <v>Not Set Yet</v>
      </c>
      <c r="H14" s="63" t="n">
        <v>40</v>
      </c>
    </row>
    <row r="15" customFormat="false" ht="21.75" hidden="false" customHeight="true" outlineLevel="0" collapsed="false">
      <c r="A15" s="19" t="s">
        <v>177</v>
      </c>
      <c r="B15" s="61"/>
      <c r="C15" s="61"/>
      <c r="D15" s="61"/>
      <c r="E15" s="54" t="n">
        <f aca="false">IFERROR(B15-D15,"-")</f>
        <v>0</v>
      </c>
      <c r="F15" s="64"/>
      <c r="G15" s="56" t="str">
        <f aca="false">IF(B15="","Not Set Yet",IF(B15&gt;=H15,"🏆 GOAL HIT!",IF(B15&gt;=H15*0.9,"🔥 90% There!",IF(B15&gt;=H15*0.75,"⚡ 75% Done","📈 Keep Going"))))</f>
        <v>Not Set Yet</v>
      </c>
      <c r="H15" s="63" t="n">
        <v>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5"/>
  </cols>
  <sheetData>
    <row r="1" customFormat="false" ht="37.5" hidden="false" customHeight="true" outlineLevel="0" collapsed="false">
      <c r="A1" s="65" t="s">
        <v>242</v>
      </c>
      <c r="B1" s="65"/>
      <c r="C1" s="65"/>
      <c r="D1" s="65"/>
      <c r="E1" s="65"/>
      <c r="F1" s="65"/>
      <c r="G1" s="65"/>
      <c r="H1" s="65"/>
      <c r="I1" s="65"/>
    </row>
    <row r="2" customFormat="false" ht="15" hidden="false" customHeight="true" outlineLevel="0" collapsed="false">
      <c r="A2" s="66" t="s">
        <v>243</v>
      </c>
      <c r="B2" s="66"/>
      <c r="C2" s="66"/>
      <c r="D2" s="66"/>
      <c r="E2" s="66"/>
      <c r="F2" s="66"/>
      <c r="G2" s="66"/>
      <c r="H2" s="66"/>
      <c r="I2" s="66"/>
    </row>
    <row r="3" customFormat="false" ht="15" hidden="false" customHeight="false" outlineLevel="0" collapsed="false">
      <c r="A3" s="16" t="s">
        <v>9</v>
      </c>
      <c r="B3" s="16" t="s">
        <v>36</v>
      </c>
      <c r="C3" s="16" t="s">
        <v>244</v>
      </c>
      <c r="D3" s="16" t="s">
        <v>245</v>
      </c>
      <c r="E3" s="16" t="s">
        <v>246</v>
      </c>
      <c r="F3" s="16" t="s">
        <v>247</v>
      </c>
      <c r="G3" s="16" t="s">
        <v>248</v>
      </c>
      <c r="H3" s="16" t="s">
        <v>249</v>
      </c>
      <c r="I3" s="16" t="s">
        <v>97</v>
      </c>
    </row>
    <row r="4" customFormat="false" ht="24" hidden="false" customHeight="true" outlineLevel="0" collapsed="false">
      <c r="A4" s="67" t="s">
        <v>18</v>
      </c>
      <c r="B4" s="62" t="s">
        <v>49</v>
      </c>
      <c r="C4" s="61"/>
      <c r="D4" s="61"/>
      <c r="E4" s="61"/>
      <c r="F4" s="61"/>
      <c r="G4" s="61"/>
      <c r="H4" s="61"/>
      <c r="I4" s="62"/>
    </row>
    <row r="5" customFormat="false" ht="24" hidden="false" customHeight="true" outlineLevel="0" collapsed="false">
      <c r="A5" s="68" t="s">
        <v>19</v>
      </c>
      <c r="B5" s="64" t="s">
        <v>65</v>
      </c>
      <c r="C5" s="61"/>
      <c r="D5" s="61"/>
      <c r="E5" s="61"/>
      <c r="F5" s="61"/>
      <c r="G5" s="61"/>
      <c r="H5" s="61"/>
      <c r="I5" s="64"/>
    </row>
    <row r="6" customFormat="false" ht="24" hidden="false" customHeight="true" outlineLevel="0" collapsed="false">
      <c r="A6" s="67" t="s">
        <v>20</v>
      </c>
      <c r="B6" s="62" t="s">
        <v>72</v>
      </c>
      <c r="C6" s="61"/>
      <c r="D6" s="61"/>
      <c r="E6" s="61"/>
      <c r="F6" s="61"/>
      <c r="G6" s="61"/>
      <c r="H6" s="61"/>
      <c r="I6" s="62"/>
    </row>
    <row r="7" customFormat="false" ht="24" hidden="false" customHeight="true" outlineLevel="0" collapsed="false">
      <c r="A7" s="68" t="s">
        <v>21</v>
      </c>
      <c r="B7" s="64" t="s">
        <v>79</v>
      </c>
      <c r="C7" s="61"/>
      <c r="D7" s="61"/>
      <c r="E7" s="61"/>
      <c r="F7" s="61"/>
      <c r="G7" s="61"/>
      <c r="H7" s="61"/>
      <c r="I7" s="64"/>
    </row>
    <row r="8" customFormat="false" ht="24" hidden="false" customHeight="true" outlineLevel="0" collapsed="false">
      <c r="A8" s="67" t="s">
        <v>22</v>
      </c>
      <c r="B8" s="62" t="s">
        <v>86</v>
      </c>
      <c r="C8" s="61"/>
      <c r="D8" s="61"/>
      <c r="E8" s="61"/>
      <c r="F8" s="61"/>
      <c r="G8" s="61"/>
      <c r="H8" s="61"/>
      <c r="I8" s="62"/>
    </row>
    <row r="9" customFormat="false" ht="30" hidden="false" customHeight="true" outlineLevel="0" collapsed="false">
      <c r="A9" s="15" t="s">
        <v>250</v>
      </c>
      <c r="B9" s="15"/>
      <c r="C9" s="15"/>
      <c r="D9" s="15"/>
      <c r="E9" s="15"/>
      <c r="F9" s="15"/>
      <c r="G9" s="15"/>
      <c r="H9" s="15"/>
      <c r="I9" s="15"/>
    </row>
    <row r="10" customFormat="false" ht="15" hidden="false" customHeight="false" outlineLevel="0" collapsed="false">
      <c r="A10" s="16" t="s">
        <v>251</v>
      </c>
      <c r="B10" s="16" t="s">
        <v>252</v>
      </c>
      <c r="C10" s="16" t="s">
        <v>253</v>
      </c>
      <c r="D10" s="16" t="s">
        <v>254</v>
      </c>
      <c r="E10" s="16" t="s">
        <v>255</v>
      </c>
      <c r="F10" s="16" t="s">
        <v>256</v>
      </c>
      <c r="G10" s="16" t="s">
        <v>17</v>
      </c>
    </row>
    <row r="11" customFormat="false" ht="19.5" hidden="false" customHeight="true" outlineLevel="0" collapsed="false">
      <c r="A11" s="17" t="s">
        <v>244</v>
      </c>
      <c r="B11" s="69" t="n">
        <f aca="false">C4</f>
        <v>0</v>
      </c>
      <c r="C11" s="69" t="n">
        <f aca="false">C8</f>
        <v>0</v>
      </c>
      <c r="D11" s="36" t="n">
        <f aca="false">IFERROR(C11-B11,"-")</f>
        <v>0</v>
      </c>
      <c r="E11" s="36" t="str">
        <f aca="false">IFERROR(TEXT((C11-B11)/B11,"+0.0%;-0.0%"),"-")</f>
        <v>-</v>
      </c>
      <c r="F11" s="70" t="s">
        <v>257</v>
      </c>
      <c r="G11" s="36" t="str">
        <f aca="false">IFERROR(IF(ABS(C11-B11)&gt;=0.5,"✅ Progress!","📈 Keep Going"),"-")</f>
        <v>📈 Keep Going</v>
      </c>
    </row>
    <row r="12" customFormat="false" ht="19.5" hidden="false" customHeight="true" outlineLevel="0" collapsed="false">
      <c r="A12" s="18" t="s">
        <v>245</v>
      </c>
      <c r="B12" s="69" t="n">
        <f aca="false">D4</f>
        <v>0</v>
      </c>
      <c r="C12" s="69" t="n">
        <f aca="false">D8</f>
        <v>0</v>
      </c>
      <c r="D12" s="54" t="n">
        <f aca="false">IFERROR(C12-B12,"-")</f>
        <v>0</v>
      </c>
      <c r="E12" s="54" t="str">
        <f aca="false">IFERROR(TEXT((C12-B12)/B12,"+0.0%;-0.0%"),"-")</f>
        <v>-</v>
      </c>
      <c r="F12" s="70" t="s">
        <v>258</v>
      </c>
      <c r="G12" s="54" t="str">
        <f aca="false">IFERROR(IF(ABS(C12-B12)&gt;=0.5,"✅ Progress!","📈 Keep Going"),"-")</f>
        <v>📈 Keep Going</v>
      </c>
    </row>
    <row r="13" customFormat="false" ht="19.5" hidden="false" customHeight="true" outlineLevel="0" collapsed="false">
      <c r="A13" s="17" t="s">
        <v>246</v>
      </c>
      <c r="B13" s="69" t="n">
        <f aca="false">E4</f>
        <v>0</v>
      </c>
      <c r="C13" s="69" t="n">
        <f aca="false">E8</f>
        <v>0</v>
      </c>
      <c r="D13" s="36" t="n">
        <f aca="false">IFERROR(C13-B13,"-")</f>
        <v>0</v>
      </c>
      <c r="E13" s="36" t="str">
        <f aca="false">IFERROR(TEXT((C13-B13)/B13,"+0.0%;-0.0%"),"-")</f>
        <v>-</v>
      </c>
      <c r="F13" s="70" t="s">
        <v>259</v>
      </c>
      <c r="G13" s="36" t="str">
        <f aca="false">IFERROR(IF(ABS(C13-B13)&gt;=0.5,"✅ Progress!","📈 Keep Going"),"-")</f>
        <v>📈 Keep Going</v>
      </c>
    </row>
    <row r="14" customFormat="false" ht="19.5" hidden="false" customHeight="true" outlineLevel="0" collapsed="false">
      <c r="A14" s="18" t="s">
        <v>248</v>
      </c>
      <c r="B14" s="69" t="n">
        <f aca="false">G4</f>
        <v>0</v>
      </c>
      <c r="C14" s="69" t="n">
        <f aca="false">G8</f>
        <v>0</v>
      </c>
      <c r="D14" s="54" t="n">
        <f aca="false">IFERROR(C14-B14,"-")</f>
        <v>0</v>
      </c>
      <c r="E14" s="54" t="str">
        <f aca="false">IFERROR(TEXT((C14-B14)/B14,"+0.0%;-0.0%"),"-")</f>
        <v>-</v>
      </c>
      <c r="F14" s="70" t="s">
        <v>260</v>
      </c>
      <c r="G14" s="54" t="str">
        <f aca="false">IFERROR(IF(ABS(C14-B14)&gt;=0.5,"✅ Progress!","📈 Keep Going"),"-")</f>
        <v>📈 Keep Going</v>
      </c>
    </row>
  </sheetData>
  <mergeCells count="3">
    <mergeCell ref="A1:I1"/>
    <mergeCell ref="A2:I2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25"/>
  </cols>
  <sheetData>
    <row r="1" customFormat="false" ht="37.5" hidden="false" customHeight="true" outlineLevel="0" collapsed="false">
      <c r="A1" s="71" t="s">
        <v>261</v>
      </c>
      <c r="B1" s="71"/>
      <c r="C1" s="71"/>
      <c r="D1" s="71"/>
      <c r="E1" s="71"/>
      <c r="F1" s="71"/>
      <c r="G1" s="71"/>
      <c r="H1" s="71"/>
      <c r="I1" s="71"/>
      <c r="J1" s="71"/>
    </row>
    <row r="2" customFormat="false" ht="15" hidden="false" customHeight="true" outlineLevel="0" collapsed="false">
      <c r="A2" s="59" t="s">
        <v>262</v>
      </c>
      <c r="B2" s="59"/>
      <c r="C2" s="59"/>
      <c r="D2" s="59"/>
      <c r="E2" s="59"/>
      <c r="F2" s="59"/>
      <c r="G2" s="59"/>
      <c r="H2" s="59"/>
      <c r="I2" s="59"/>
      <c r="J2" s="59"/>
    </row>
    <row r="3" customFormat="false" ht="22.35" hidden="false" customHeight="false" outlineLevel="0" collapsed="false">
      <c r="A3" s="29" t="s">
        <v>90</v>
      </c>
      <c r="B3" s="29" t="s">
        <v>36</v>
      </c>
      <c r="C3" s="29" t="s">
        <v>263</v>
      </c>
      <c r="D3" s="29" t="s">
        <v>264</v>
      </c>
      <c r="E3" s="29" t="s">
        <v>265</v>
      </c>
      <c r="F3" s="29" t="s">
        <v>266</v>
      </c>
      <c r="G3" s="29" t="s">
        <v>267</v>
      </c>
      <c r="H3" s="29" t="s">
        <v>268</v>
      </c>
      <c r="I3" s="29" t="s">
        <v>269</v>
      </c>
      <c r="J3" s="29" t="s">
        <v>97</v>
      </c>
    </row>
    <row r="4" customFormat="false" ht="19.5" hidden="false" customHeight="true" outlineLevel="0" collapsed="false">
      <c r="A4" s="30" t="n">
        <v>1</v>
      </c>
      <c r="B4" s="62" t="s">
        <v>270</v>
      </c>
      <c r="C4" s="61"/>
      <c r="D4" s="61"/>
      <c r="E4" s="61"/>
      <c r="F4" s="61"/>
      <c r="G4" s="61"/>
      <c r="H4" s="61"/>
      <c r="I4" s="61"/>
      <c r="J4" s="62"/>
    </row>
    <row r="5" customFormat="false" ht="19.5" hidden="false" customHeight="true" outlineLevel="0" collapsed="false">
      <c r="A5" s="51" t="n">
        <v>2</v>
      </c>
      <c r="B5" s="64" t="s">
        <v>271</v>
      </c>
      <c r="C5" s="61"/>
      <c r="D5" s="61"/>
      <c r="E5" s="61"/>
      <c r="F5" s="61"/>
      <c r="G5" s="61"/>
      <c r="H5" s="61"/>
      <c r="I5" s="61"/>
      <c r="J5" s="64"/>
    </row>
    <row r="6" customFormat="false" ht="19.5" hidden="false" customHeight="true" outlineLevel="0" collapsed="false">
      <c r="A6" s="30" t="n">
        <v>3</v>
      </c>
      <c r="B6" s="62" t="s">
        <v>272</v>
      </c>
      <c r="C6" s="61"/>
      <c r="D6" s="61"/>
      <c r="E6" s="61"/>
      <c r="F6" s="61"/>
      <c r="G6" s="61"/>
      <c r="H6" s="61"/>
      <c r="I6" s="61"/>
      <c r="J6" s="62"/>
    </row>
    <row r="7" customFormat="false" ht="19.5" hidden="false" customHeight="true" outlineLevel="0" collapsed="false">
      <c r="A7" s="51" t="n">
        <v>4</v>
      </c>
      <c r="B7" s="64" t="s">
        <v>273</v>
      </c>
      <c r="C7" s="61"/>
      <c r="D7" s="61"/>
      <c r="E7" s="61"/>
      <c r="F7" s="61"/>
      <c r="G7" s="61"/>
      <c r="H7" s="61"/>
      <c r="I7" s="61"/>
      <c r="J7" s="64"/>
    </row>
    <row r="8" customFormat="false" ht="19.5" hidden="false" customHeight="true" outlineLevel="0" collapsed="false">
      <c r="A8" s="30" t="n">
        <v>5</v>
      </c>
      <c r="B8" s="62" t="s">
        <v>274</v>
      </c>
      <c r="C8" s="61"/>
      <c r="D8" s="61"/>
      <c r="E8" s="61"/>
      <c r="F8" s="61"/>
      <c r="G8" s="61"/>
      <c r="H8" s="61"/>
      <c r="I8" s="61"/>
      <c r="J8" s="62"/>
    </row>
    <row r="9" customFormat="false" ht="19.5" hidden="false" customHeight="true" outlineLevel="0" collapsed="false">
      <c r="A9" s="51" t="n">
        <v>6</v>
      </c>
      <c r="B9" s="64" t="s">
        <v>275</v>
      </c>
      <c r="C9" s="61"/>
      <c r="D9" s="61"/>
      <c r="E9" s="61"/>
      <c r="F9" s="61"/>
      <c r="G9" s="61"/>
      <c r="H9" s="61"/>
      <c r="I9" s="61"/>
      <c r="J9" s="64"/>
    </row>
    <row r="10" customFormat="false" ht="19.5" hidden="false" customHeight="true" outlineLevel="0" collapsed="false">
      <c r="A10" s="30" t="n">
        <v>7</v>
      </c>
      <c r="B10" s="62" t="s">
        <v>276</v>
      </c>
      <c r="C10" s="61"/>
      <c r="D10" s="61"/>
      <c r="E10" s="61"/>
      <c r="F10" s="61"/>
      <c r="G10" s="61"/>
      <c r="H10" s="61"/>
      <c r="I10" s="61"/>
      <c r="J10" s="62"/>
    </row>
    <row r="11" customFormat="false" ht="19.5" hidden="false" customHeight="true" outlineLevel="0" collapsed="false">
      <c r="A11" s="51" t="n">
        <v>8</v>
      </c>
      <c r="B11" s="64" t="s">
        <v>277</v>
      </c>
      <c r="C11" s="61"/>
      <c r="D11" s="61"/>
      <c r="E11" s="61"/>
      <c r="F11" s="61"/>
      <c r="G11" s="61"/>
      <c r="H11" s="61"/>
      <c r="I11" s="61"/>
      <c r="J11" s="64"/>
    </row>
    <row r="12" customFormat="false" ht="19.5" hidden="false" customHeight="true" outlineLevel="0" collapsed="false">
      <c r="A12" s="30" t="n">
        <v>9</v>
      </c>
      <c r="B12" s="62" t="s">
        <v>278</v>
      </c>
      <c r="C12" s="61"/>
      <c r="D12" s="61"/>
      <c r="E12" s="61"/>
      <c r="F12" s="61"/>
      <c r="G12" s="61"/>
      <c r="H12" s="61"/>
      <c r="I12" s="61"/>
      <c r="J12" s="62"/>
    </row>
    <row r="13" customFormat="false" ht="19.5" hidden="false" customHeight="true" outlineLevel="0" collapsed="false">
      <c r="A13" s="51" t="n">
        <v>10</v>
      </c>
      <c r="B13" s="64" t="s">
        <v>279</v>
      </c>
      <c r="C13" s="61"/>
      <c r="D13" s="61"/>
      <c r="E13" s="61"/>
      <c r="F13" s="61"/>
      <c r="G13" s="61"/>
      <c r="H13" s="61"/>
      <c r="I13" s="61"/>
      <c r="J13" s="64"/>
    </row>
    <row r="14" customFormat="false" ht="19.5" hidden="false" customHeight="true" outlineLevel="0" collapsed="false">
      <c r="A14" s="30" t="n">
        <v>11</v>
      </c>
      <c r="B14" s="62" t="s">
        <v>280</v>
      </c>
      <c r="C14" s="61"/>
      <c r="D14" s="61"/>
      <c r="E14" s="61"/>
      <c r="F14" s="61"/>
      <c r="G14" s="61"/>
      <c r="H14" s="61"/>
      <c r="I14" s="61"/>
      <c r="J14" s="62"/>
    </row>
    <row r="15" customFormat="false" ht="19.5" hidden="false" customHeight="true" outlineLevel="0" collapsed="false">
      <c r="A15" s="51" t="n">
        <v>12</v>
      </c>
      <c r="B15" s="64" t="s">
        <v>281</v>
      </c>
      <c r="C15" s="61"/>
      <c r="D15" s="61"/>
      <c r="E15" s="61"/>
      <c r="F15" s="61"/>
      <c r="G15" s="61"/>
      <c r="H15" s="61"/>
      <c r="I15" s="61"/>
      <c r="J15" s="64"/>
    </row>
    <row r="16" customFormat="false" ht="19.5" hidden="false" customHeight="true" outlineLevel="0" collapsed="false">
      <c r="A16" s="30" t="n">
        <v>13</v>
      </c>
      <c r="B16" s="62" t="s">
        <v>282</v>
      </c>
      <c r="C16" s="61"/>
      <c r="D16" s="61"/>
      <c r="E16" s="61"/>
      <c r="F16" s="61"/>
      <c r="G16" s="61"/>
      <c r="H16" s="61"/>
      <c r="I16" s="61"/>
      <c r="J16" s="62"/>
    </row>
    <row r="17" customFormat="false" ht="19.5" hidden="false" customHeight="true" outlineLevel="0" collapsed="false">
      <c r="A17" s="51" t="n">
        <v>14</v>
      </c>
      <c r="B17" s="64" t="s">
        <v>283</v>
      </c>
      <c r="C17" s="61"/>
      <c r="D17" s="61"/>
      <c r="E17" s="61"/>
      <c r="F17" s="61"/>
      <c r="G17" s="61"/>
      <c r="H17" s="61"/>
      <c r="I17" s="61"/>
      <c r="J17" s="64"/>
    </row>
    <row r="18" customFormat="false" ht="19.5" hidden="false" customHeight="true" outlineLevel="0" collapsed="false">
      <c r="A18" s="30" t="n">
        <v>15</v>
      </c>
      <c r="B18" s="62" t="s">
        <v>284</v>
      </c>
      <c r="C18" s="61"/>
      <c r="D18" s="61"/>
      <c r="E18" s="61"/>
      <c r="F18" s="61"/>
      <c r="G18" s="61"/>
      <c r="H18" s="61"/>
      <c r="I18" s="61"/>
      <c r="J18" s="62"/>
    </row>
    <row r="19" customFormat="false" ht="19.5" hidden="false" customHeight="true" outlineLevel="0" collapsed="false">
      <c r="A19" s="51" t="n">
        <v>16</v>
      </c>
      <c r="B19" s="64" t="s">
        <v>285</v>
      </c>
      <c r="C19" s="61"/>
      <c r="D19" s="61"/>
      <c r="E19" s="61"/>
      <c r="F19" s="61"/>
      <c r="G19" s="61"/>
      <c r="H19" s="61"/>
      <c r="I19" s="61"/>
      <c r="J19" s="64"/>
    </row>
    <row r="20" customFormat="false" ht="19.5" hidden="false" customHeight="true" outlineLevel="0" collapsed="false">
      <c r="A20" s="30" t="n">
        <v>17</v>
      </c>
      <c r="B20" s="62" t="s">
        <v>286</v>
      </c>
      <c r="C20" s="61"/>
      <c r="D20" s="61"/>
      <c r="E20" s="61"/>
      <c r="F20" s="61"/>
      <c r="G20" s="61"/>
      <c r="H20" s="61"/>
      <c r="I20" s="61"/>
      <c r="J20" s="62"/>
    </row>
    <row r="21" customFormat="false" ht="19.5" hidden="false" customHeight="true" outlineLevel="0" collapsed="false">
      <c r="A21" s="51" t="n">
        <v>18</v>
      </c>
      <c r="B21" s="64" t="s">
        <v>287</v>
      </c>
      <c r="C21" s="61"/>
      <c r="D21" s="61"/>
      <c r="E21" s="61"/>
      <c r="F21" s="61"/>
      <c r="G21" s="61"/>
      <c r="H21" s="61"/>
      <c r="I21" s="61"/>
      <c r="J21" s="64"/>
    </row>
    <row r="22" customFormat="false" ht="19.5" hidden="false" customHeight="true" outlineLevel="0" collapsed="false">
      <c r="A22" s="30" t="n">
        <v>19</v>
      </c>
      <c r="B22" s="62" t="s">
        <v>288</v>
      </c>
      <c r="C22" s="61"/>
      <c r="D22" s="61"/>
      <c r="E22" s="61"/>
      <c r="F22" s="61"/>
      <c r="G22" s="61"/>
      <c r="H22" s="61"/>
      <c r="I22" s="61"/>
      <c r="J22" s="62"/>
    </row>
    <row r="23" customFormat="false" ht="19.5" hidden="false" customHeight="true" outlineLevel="0" collapsed="false">
      <c r="A23" s="51" t="n">
        <v>20</v>
      </c>
      <c r="B23" s="64" t="s">
        <v>289</v>
      </c>
      <c r="C23" s="61"/>
      <c r="D23" s="61"/>
      <c r="E23" s="61"/>
      <c r="F23" s="61"/>
      <c r="G23" s="61"/>
      <c r="H23" s="61"/>
      <c r="I23" s="61"/>
      <c r="J23" s="64"/>
    </row>
    <row r="24" customFormat="false" ht="19.5" hidden="false" customHeight="true" outlineLevel="0" collapsed="false">
      <c r="A24" s="30" t="n">
        <v>21</v>
      </c>
      <c r="B24" s="62" t="s">
        <v>290</v>
      </c>
      <c r="C24" s="61"/>
      <c r="D24" s="61"/>
      <c r="E24" s="61"/>
      <c r="F24" s="61"/>
      <c r="G24" s="61"/>
      <c r="H24" s="61"/>
      <c r="I24" s="61"/>
      <c r="J24" s="62"/>
    </row>
    <row r="25" customFormat="false" ht="19.5" hidden="false" customHeight="true" outlineLevel="0" collapsed="false">
      <c r="A25" s="51" t="n">
        <v>22</v>
      </c>
      <c r="B25" s="64" t="s">
        <v>291</v>
      </c>
      <c r="C25" s="61"/>
      <c r="D25" s="61"/>
      <c r="E25" s="61"/>
      <c r="F25" s="61"/>
      <c r="G25" s="61"/>
      <c r="H25" s="61"/>
      <c r="I25" s="61"/>
      <c r="J25" s="64"/>
    </row>
    <row r="26" customFormat="false" ht="19.5" hidden="false" customHeight="true" outlineLevel="0" collapsed="false">
      <c r="A26" s="30" t="n">
        <v>23</v>
      </c>
      <c r="B26" s="62" t="s">
        <v>292</v>
      </c>
      <c r="C26" s="61"/>
      <c r="D26" s="61"/>
      <c r="E26" s="61"/>
      <c r="F26" s="61"/>
      <c r="G26" s="61"/>
      <c r="H26" s="61"/>
      <c r="I26" s="61"/>
      <c r="J26" s="62"/>
    </row>
    <row r="27" customFormat="false" ht="19.5" hidden="false" customHeight="true" outlineLevel="0" collapsed="false">
      <c r="A27" s="51" t="n">
        <v>24</v>
      </c>
      <c r="B27" s="64" t="s">
        <v>293</v>
      </c>
      <c r="C27" s="61"/>
      <c r="D27" s="61"/>
      <c r="E27" s="61"/>
      <c r="F27" s="61"/>
      <c r="G27" s="61"/>
      <c r="H27" s="61"/>
      <c r="I27" s="61"/>
      <c r="J27" s="64"/>
    </row>
    <row r="28" customFormat="false" ht="19.5" hidden="false" customHeight="true" outlineLevel="0" collapsed="false">
      <c r="A28" s="30" t="n">
        <v>25</v>
      </c>
      <c r="B28" s="62" t="s">
        <v>294</v>
      </c>
      <c r="C28" s="61"/>
      <c r="D28" s="61"/>
      <c r="E28" s="61"/>
      <c r="F28" s="61"/>
      <c r="G28" s="61"/>
      <c r="H28" s="61"/>
      <c r="I28" s="61"/>
      <c r="J28" s="62"/>
    </row>
    <row r="29" customFormat="false" ht="19.5" hidden="false" customHeight="true" outlineLevel="0" collapsed="false">
      <c r="A29" s="51" t="n">
        <v>26</v>
      </c>
      <c r="B29" s="64" t="s">
        <v>295</v>
      </c>
      <c r="C29" s="61"/>
      <c r="D29" s="61"/>
      <c r="E29" s="61"/>
      <c r="F29" s="61"/>
      <c r="G29" s="61"/>
      <c r="H29" s="61"/>
      <c r="I29" s="61"/>
      <c r="J29" s="64"/>
    </row>
    <row r="30" customFormat="false" ht="19.5" hidden="false" customHeight="true" outlineLevel="0" collapsed="false">
      <c r="A30" s="30" t="n">
        <v>27</v>
      </c>
      <c r="B30" s="62" t="s">
        <v>296</v>
      </c>
      <c r="C30" s="61"/>
      <c r="D30" s="61"/>
      <c r="E30" s="61"/>
      <c r="F30" s="61"/>
      <c r="G30" s="61"/>
      <c r="H30" s="61"/>
      <c r="I30" s="61"/>
      <c r="J30" s="62"/>
    </row>
    <row r="31" customFormat="false" ht="19.5" hidden="false" customHeight="true" outlineLevel="0" collapsed="false">
      <c r="A31" s="51" t="n">
        <v>28</v>
      </c>
      <c r="B31" s="64" t="s">
        <v>297</v>
      </c>
      <c r="C31" s="61"/>
      <c r="D31" s="61"/>
      <c r="E31" s="61"/>
      <c r="F31" s="61"/>
      <c r="G31" s="61"/>
      <c r="H31" s="61"/>
      <c r="I31" s="61"/>
      <c r="J31" s="64"/>
    </row>
    <row r="32" customFormat="false" ht="19.5" hidden="false" customHeight="true" outlineLevel="0" collapsed="false">
      <c r="A32" s="30" t="n">
        <v>29</v>
      </c>
      <c r="B32" s="62" t="s">
        <v>298</v>
      </c>
      <c r="C32" s="61"/>
      <c r="D32" s="61"/>
      <c r="E32" s="61"/>
      <c r="F32" s="61"/>
      <c r="G32" s="61"/>
      <c r="H32" s="61"/>
      <c r="I32" s="61"/>
      <c r="J32" s="62"/>
    </row>
    <row r="33" customFormat="false" ht="19.5" hidden="false" customHeight="true" outlineLevel="0" collapsed="false">
      <c r="A33" s="51" t="n">
        <v>30</v>
      </c>
      <c r="B33" s="64" t="s">
        <v>299</v>
      </c>
      <c r="C33" s="61"/>
      <c r="D33" s="61"/>
      <c r="E33" s="61"/>
      <c r="F33" s="61"/>
      <c r="G33" s="61"/>
      <c r="H33" s="61"/>
      <c r="I33" s="61"/>
      <c r="J33" s="64"/>
    </row>
    <row r="34" customFormat="false" ht="21.75" hidden="false" customHeight="true" outlineLevel="0" collapsed="false">
      <c r="A34" s="72" t="s">
        <v>300</v>
      </c>
      <c r="B34" s="72"/>
      <c r="C34" s="72" t="s">
        <v>301</v>
      </c>
      <c r="D34" s="72" t="s">
        <v>302</v>
      </c>
      <c r="E34" s="72" t="s">
        <v>303</v>
      </c>
      <c r="F34" s="72" t="s">
        <v>304</v>
      </c>
      <c r="G34" s="72" t="s">
        <v>304</v>
      </c>
      <c r="H34" s="72" t="s">
        <v>305</v>
      </c>
      <c r="I34" s="72" t="s">
        <v>306</v>
      </c>
      <c r="J34" s="72" t="s">
        <v>307</v>
      </c>
    </row>
    <row r="35" customFormat="false" ht="21.75" hidden="false" customHeight="true" outlineLevel="0" collapsed="false">
      <c r="A35" s="73" t="s">
        <v>308</v>
      </c>
      <c r="B35" s="73"/>
      <c r="C35" s="73" t="str">
        <f aca="false">IFERROR(AVERAGE(C4:C33),"-")</f>
        <v>-</v>
      </c>
      <c r="D35" s="73" t="str">
        <f aca="false">IFERROR(AVERAGE(D4:D33),"-")</f>
        <v>-</v>
      </c>
      <c r="E35" s="73" t="str">
        <f aca="false">IFERROR(AVERAGE(E4:E33),"-")</f>
        <v>-</v>
      </c>
      <c r="F35" s="73" t="n">
        <f aca="false">IFERROR(COUNTIF(F4:F33,"Y")/30,"-")</f>
        <v>0</v>
      </c>
      <c r="G35" s="73" t="n">
        <f aca="false">IFERROR(COUNTIF(G4:G33,"Y")/30,"-")</f>
        <v>0</v>
      </c>
      <c r="H35" s="73" t="str">
        <f aca="false">IFERROR(AVERAGE(H4:H33),"-")</f>
        <v>-</v>
      </c>
      <c r="I35" s="73" t="str">
        <f aca="false">IFERROR(AVERAGE(I4:I33),"-")</f>
        <v>-</v>
      </c>
      <c r="J35" s="7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2026-04-06T12:41:12Z</dcterms:created>
  <dc:creator>openpyxl</dc:creator>
  <dc:description/>
  <dc:language>en-US</dc:language>
  <cp:lastModifiedBy/>
  <dcterms:modified xsi:type="dcterms:W3CDTF">2026-04-06T12:41:12Z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